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2.xml" ContentType="application/vnd.openxmlformats-officedocument.drawing+xml"/>
  <Override PartName="/xl/charts/chart4.xml" ContentType="application/vnd.openxmlformats-officedocument.drawingml.chart+xml"/>
  <Override PartName="/xl/pivotTables/pivotTable5.xml" ContentType="application/vnd.openxmlformats-officedocument.spreadsheetml.pivotTable+xml"/>
  <Override PartName="/xl/pivotTables/pivotTable6.xml" ContentType="application/vnd.openxmlformats-officedocument.spreadsheetml.pivotTable+xml"/>
  <Override PartName="/xl/drawings/drawing3.xml" ContentType="application/vnd.openxmlformats-officedocument.drawing+xml"/>
  <Override PartName="/xl/slicers/slicer2.xml" ContentType="application/vnd.ms-excel.slicer+xml"/>
  <Override PartName="/xl/pivotTables/pivotTable7.xml" ContentType="application/vnd.openxmlformats-officedocument.spreadsheetml.pivotTable+xml"/>
  <Override PartName="/xl/drawings/drawing4.xml" ContentType="application/vnd.openxmlformats-officedocument.drawing+xml"/>
  <Override PartName="/xl/charts/chart5.xml" ContentType="application/vnd.openxmlformats-officedocument.drawingml.chart+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2"/>
  <workbookPr defaultThemeVersion="124226"/>
  <bookViews>
    <workbookView xWindow="0" yWindow="36" windowWidth="22980" windowHeight="9552"/>
  </bookViews>
  <sheets>
    <sheet name="Dashboard" sheetId="8" r:id="rId1"/>
    <sheet name="Summary" sheetId="9" r:id="rId2"/>
    <sheet name="Data Validation" sheetId="7" r:id="rId3"/>
    <sheet name="Regional Difference" sheetId="6" r:id="rId4"/>
    <sheet name="Sugar_Screen time Analysis" sheetId="5" r:id="rId5"/>
    <sheet name="Nutrient Vs BMI" sheetId="4" r:id="rId6"/>
    <sheet name="Health Status by Age" sheetId="3" r:id="rId7"/>
    <sheet name="Child_Health_Data" sheetId="1" r:id="rId8"/>
  </sheets>
  <definedNames>
    <definedName name="Slicer_Age_Months">#N/A</definedName>
    <definedName name="Slicer_Gender">#N/A</definedName>
    <definedName name="Slicer_Region1">#N/A</definedName>
  </definedNames>
  <calcPr calcId="144525" iterateDelta="1E-4"/>
  <pivotCaches>
    <pivotCache cacheId="3" r:id="rId9"/>
  </pivotCaches>
  <extLst>
    <ext xmlns:x14="http://schemas.microsoft.com/office/spreadsheetml/2009/9/main" uri="{BBE1A952-AA13-448e-AADC-164F8A28A991}">
      <x14:slicerCaches>
        <x14:slicerCache r:id="rId10"/>
        <x14:slicerCache r:id="rId11"/>
        <x14:slicerCache r:id="rId12"/>
      </x14:slicerCaches>
    </ext>
    <ext xmlns:x14="http://schemas.microsoft.com/office/spreadsheetml/2009/9/main" uri="{79F54976-1DA5-4618-B147-4CDE4B953A38}">
      <x14:workbookPr/>
    </ext>
  </extLst>
</workbook>
</file>

<file path=xl/calcChain.xml><?xml version="1.0" encoding="utf-8"?>
<calcChain xmlns="http://schemas.openxmlformats.org/spreadsheetml/2006/main">
  <c r="X8" i="8" l="1"/>
  <c r="F6" i="8" s="1"/>
  <c r="V5" i="8"/>
  <c r="B6" i="8" s="1"/>
  <c r="W5" i="8"/>
  <c r="D6" i="8" s="1"/>
  <c r="X5" i="8"/>
  <c r="H6" i="8" s="1"/>
  <c r="Y5" i="8"/>
  <c r="J6" i="8" s="1"/>
  <c r="M2" i="1" l="1"/>
  <c r="M3" i="1"/>
  <c r="M4" i="1"/>
  <c r="M5" i="1"/>
  <c r="M6" i="1"/>
  <c r="M7" i="1"/>
  <c r="M8" i="1"/>
  <c r="M9" i="1"/>
  <c r="M10" i="1"/>
  <c r="M11" i="1"/>
  <c r="M12" i="1"/>
  <c r="M13" i="1"/>
  <c r="M14" i="1"/>
  <c r="M15" i="1"/>
  <c r="M16" i="1"/>
  <c r="M17" i="1"/>
  <c r="M18" i="1"/>
  <c r="M19" i="1"/>
  <c r="M20" i="1"/>
  <c r="M21" i="1"/>
  <c r="M22" i="1"/>
  <c r="M23" i="1"/>
  <c r="M24" i="1"/>
  <c r="M25" i="1"/>
  <c r="M26" i="1"/>
  <c r="M27" i="1"/>
  <c r="M28" i="1"/>
  <c r="M29" i="1"/>
  <c r="M30" i="1"/>
  <c r="M31" i="1"/>
  <c r="M32" i="1"/>
  <c r="M33" i="1"/>
  <c r="M34" i="1"/>
  <c r="M35" i="1"/>
  <c r="M36" i="1"/>
  <c r="M37" i="1"/>
  <c r="M38" i="1"/>
  <c r="M39" i="1"/>
  <c r="M40" i="1"/>
  <c r="M41" i="1"/>
  <c r="M42" i="1"/>
  <c r="M43" i="1"/>
  <c r="M44" i="1"/>
  <c r="M45" i="1"/>
  <c r="M46" i="1"/>
  <c r="M47" i="1"/>
  <c r="M48" i="1"/>
  <c r="M49" i="1"/>
  <c r="M50" i="1"/>
  <c r="M51" i="1"/>
  <c r="M52" i="1"/>
  <c r="M53" i="1"/>
  <c r="M54" i="1"/>
  <c r="M55" i="1"/>
  <c r="M56" i="1"/>
  <c r="M57" i="1"/>
  <c r="M58" i="1"/>
  <c r="M59" i="1"/>
  <c r="M60" i="1"/>
  <c r="M61" i="1"/>
  <c r="M62" i="1"/>
  <c r="M63" i="1"/>
  <c r="M64" i="1"/>
  <c r="M65" i="1"/>
  <c r="M66" i="1"/>
  <c r="M67" i="1"/>
  <c r="M68" i="1"/>
  <c r="M69" i="1"/>
  <c r="M70" i="1"/>
  <c r="M71" i="1"/>
  <c r="M72" i="1"/>
  <c r="M73" i="1"/>
  <c r="M74" i="1"/>
  <c r="M75" i="1"/>
  <c r="M76" i="1"/>
  <c r="M77" i="1"/>
  <c r="M78" i="1"/>
  <c r="M79" i="1"/>
  <c r="M80" i="1"/>
  <c r="M81" i="1"/>
  <c r="M82" i="1"/>
  <c r="M83" i="1"/>
  <c r="M84" i="1"/>
  <c r="M85" i="1"/>
  <c r="M86" i="1"/>
  <c r="M87" i="1"/>
  <c r="M88" i="1"/>
  <c r="M89" i="1"/>
  <c r="M90" i="1"/>
  <c r="M91" i="1"/>
  <c r="M92" i="1"/>
  <c r="M93" i="1"/>
  <c r="M94" i="1"/>
  <c r="M95" i="1"/>
  <c r="M96" i="1"/>
  <c r="M97" i="1"/>
  <c r="M98" i="1"/>
  <c r="M99" i="1"/>
  <c r="M100" i="1"/>
  <c r="M101" i="1"/>
  <c r="K2" i="1" l="1"/>
  <c r="K3" i="1"/>
  <c r="K4" i="1"/>
  <c r="K5" i="1"/>
  <c r="K6" i="1"/>
  <c r="K7" i="1"/>
  <c r="K8" i="1"/>
  <c r="K9" i="1"/>
  <c r="K10" i="1"/>
  <c r="K11" i="1"/>
  <c r="K12" i="1"/>
  <c r="K13" i="1"/>
  <c r="K14" i="1"/>
  <c r="K15" i="1"/>
  <c r="K16" i="1"/>
  <c r="K17" i="1"/>
  <c r="K18" i="1"/>
  <c r="K19" i="1"/>
  <c r="K20" i="1"/>
  <c r="K21" i="1"/>
  <c r="K22" i="1"/>
  <c r="K23" i="1"/>
  <c r="K24" i="1"/>
  <c r="K25" i="1"/>
  <c r="K26" i="1"/>
  <c r="K27" i="1"/>
  <c r="K28" i="1"/>
  <c r="K29" i="1"/>
  <c r="K30" i="1"/>
  <c r="K31" i="1"/>
  <c r="K32" i="1"/>
  <c r="K33" i="1"/>
  <c r="K34" i="1"/>
  <c r="K35" i="1"/>
  <c r="K36" i="1"/>
  <c r="K37" i="1"/>
  <c r="K38" i="1"/>
  <c r="K39" i="1"/>
  <c r="K40" i="1"/>
  <c r="K41" i="1"/>
  <c r="K42" i="1"/>
  <c r="K43" i="1"/>
  <c r="K44" i="1"/>
  <c r="K45" i="1"/>
  <c r="K46" i="1"/>
  <c r="K47" i="1"/>
  <c r="K48" i="1"/>
  <c r="K49" i="1"/>
  <c r="K50" i="1"/>
  <c r="K51" i="1"/>
  <c r="K52" i="1"/>
  <c r="K53" i="1"/>
  <c r="K54" i="1"/>
  <c r="K55" i="1"/>
  <c r="K56" i="1"/>
  <c r="K57" i="1"/>
  <c r="K58" i="1"/>
  <c r="K59" i="1"/>
  <c r="K60" i="1"/>
  <c r="K61" i="1"/>
  <c r="K62" i="1"/>
  <c r="K63" i="1"/>
  <c r="K64" i="1"/>
  <c r="K65" i="1"/>
  <c r="K66" i="1"/>
  <c r="K67" i="1"/>
  <c r="K68" i="1"/>
  <c r="K69" i="1"/>
  <c r="K70" i="1"/>
  <c r="K71" i="1"/>
  <c r="K72" i="1"/>
  <c r="K73" i="1"/>
  <c r="K74" i="1"/>
  <c r="K75" i="1"/>
  <c r="K76" i="1"/>
  <c r="K77" i="1"/>
  <c r="K78" i="1"/>
  <c r="K79" i="1"/>
  <c r="K80" i="1"/>
  <c r="K81" i="1"/>
  <c r="K82" i="1"/>
  <c r="K83" i="1"/>
  <c r="K84" i="1"/>
  <c r="K85" i="1"/>
  <c r="K86" i="1"/>
  <c r="K87" i="1"/>
  <c r="K88" i="1"/>
  <c r="K89" i="1"/>
  <c r="K90" i="1"/>
  <c r="K91" i="1"/>
  <c r="K92" i="1"/>
  <c r="K93" i="1"/>
  <c r="K94" i="1"/>
  <c r="K95" i="1"/>
  <c r="K96" i="1"/>
  <c r="K97" i="1"/>
  <c r="K98" i="1"/>
  <c r="K99" i="1"/>
  <c r="K100" i="1"/>
  <c r="K101" i="1"/>
  <c r="L2" i="1"/>
  <c r="L3" i="1"/>
  <c r="L4" i="1"/>
  <c r="L5" i="1"/>
  <c r="L6" i="1"/>
  <c r="L7" i="1"/>
  <c r="L8" i="1"/>
  <c r="L9" i="1"/>
  <c r="L10" i="1"/>
  <c r="L11" i="1"/>
  <c r="L12" i="1"/>
  <c r="L13" i="1"/>
  <c r="L14" i="1"/>
  <c r="L15" i="1"/>
  <c r="L16" i="1"/>
  <c r="L17" i="1"/>
  <c r="L18" i="1"/>
  <c r="L19" i="1"/>
  <c r="L20" i="1"/>
  <c r="L21" i="1"/>
  <c r="L22" i="1"/>
  <c r="L23" i="1"/>
  <c r="L24" i="1"/>
  <c r="L25" i="1"/>
  <c r="L26" i="1"/>
  <c r="L27" i="1"/>
  <c r="L28" i="1"/>
  <c r="L29" i="1"/>
  <c r="L30" i="1"/>
  <c r="L31" i="1"/>
  <c r="L32" i="1"/>
  <c r="L33" i="1"/>
  <c r="L34" i="1"/>
  <c r="L35" i="1"/>
  <c r="L36" i="1"/>
  <c r="L37" i="1"/>
  <c r="L38" i="1"/>
  <c r="L39" i="1"/>
  <c r="L40" i="1"/>
  <c r="L41" i="1"/>
  <c r="L42" i="1"/>
  <c r="L43" i="1"/>
  <c r="L44" i="1"/>
  <c r="L45" i="1"/>
  <c r="L46" i="1"/>
  <c r="L47" i="1"/>
  <c r="L48" i="1"/>
  <c r="L49" i="1"/>
  <c r="L50" i="1"/>
  <c r="L51" i="1"/>
  <c r="L52" i="1"/>
  <c r="L53" i="1"/>
  <c r="L54" i="1"/>
  <c r="L55" i="1"/>
  <c r="L56" i="1"/>
  <c r="L57" i="1"/>
  <c r="L58" i="1"/>
  <c r="L59" i="1"/>
  <c r="L60" i="1"/>
  <c r="L61" i="1"/>
  <c r="L62" i="1"/>
  <c r="L63" i="1"/>
  <c r="L64" i="1"/>
  <c r="L65" i="1"/>
  <c r="L66" i="1"/>
  <c r="L67" i="1"/>
  <c r="L68" i="1"/>
  <c r="L69" i="1"/>
  <c r="L70" i="1"/>
  <c r="L71" i="1"/>
  <c r="L72" i="1"/>
  <c r="L73" i="1"/>
  <c r="L74" i="1"/>
  <c r="L75" i="1"/>
  <c r="L76" i="1"/>
  <c r="L77" i="1"/>
  <c r="L78" i="1"/>
  <c r="L79" i="1"/>
  <c r="L80" i="1"/>
  <c r="L81" i="1"/>
  <c r="L82" i="1"/>
  <c r="L83" i="1"/>
  <c r="L84" i="1"/>
  <c r="L85" i="1"/>
  <c r="L86" i="1"/>
  <c r="L87" i="1"/>
  <c r="L88" i="1"/>
  <c r="L89" i="1"/>
  <c r="L90" i="1"/>
  <c r="L91" i="1"/>
  <c r="L92" i="1"/>
  <c r="L93" i="1"/>
  <c r="L94" i="1"/>
  <c r="L95" i="1"/>
  <c r="L96" i="1"/>
  <c r="L97" i="1"/>
  <c r="L98" i="1"/>
  <c r="L99" i="1"/>
  <c r="L100" i="1"/>
  <c r="L101" i="1"/>
</calcChain>
</file>

<file path=xl/sharedStrings.xml><?xml version="1.0" encoding="utf-8"?>
<sst xmlns="http://schemas.openxmlformats.org/spreadsheetml/2006/main" count="397" uniqueCount="171">
  <si>
    <t>ChildID</t>
  </si>
  <si>
    <t>Age_Months</t>
  </si>
  <si>
    <t>Gender</t>
  </si>
  <si>
    <t>Height_cm</t>
  </si>
  <si>
    <t>Weight_kg</t>
  </si>
  <si>
    <t>Daily_Fruit_Servings</t>
  </si>
  <si>
    <t>Daily_Veggie_Servings</t>
  </si>
  <si>
    <t>Daily_Sugar_Drinks</t>
  </si>
  <si>
    <t>ScreenTime_Hours</t>
  </si>
  <si>
    <t>Region</t>
  </si>
  <si>
    <t>C001</t>
  </si>
  <si>
    <t>Female</t>
  </si>
  <si>
    <t>South</t>
  </si>
  <si>
    <t>C002</t>
  </si>
  <si>
    <t>Central</t>
  </si>
  <si>
    <t>C003</t>
  </si>
  <si>
    <t>C004</t>
  </si>
  <si>
    <t>C005</t>
  </si>
  <si>
    <t>C006</t>
  </si>
  <si>
    <t>Male</t>
  </si>
  <si>
    <t>East</t>
  </si>
  <si>
    <t>C007</t>
  </si>
  <si>
    <t>C008</t>
  </si>
  <si>
    <t>C009</t>
  </si>
  <si>
    <t>North</t>
  </si>
  <si>
    <t>C010</t>
  </si>
  <si>
    <t>C011</t>
  </si>
  <si>
    <t>West</t>
  </si>
  <si>
    <t>C012</t>
  </si>
  <si>
    <t>C013</t>
  </si>
  <si>
    <t>C014</t>
  </si>
  <si>
    <t>C015</t>
  </si>
  <si>
    <t>C016</t>
  </si>
  <si>
    <t>C017</t>
  </si>
  <si>
    <t>C018</t>
  </si>
  <si>
    <t>C019</t>
  </si>
  <si>
    <t>C020</t>
  </si>
  <si>
    <t>C021</t>
  </si>
  <si>
    <t>C022</t>
  </si>
  <si>
    <t>C023</t>
  </si>
  <si>
    <t>C024</t>
  </si>
  <si>
    <t>C025</t>
  </si>
  <si>
    <t>C026</t>
  </si>
  <si>
    <t>C027</t>
  </si>
  <si>
    <t>C028</t>
  </si>
  <si>
    <t>C029</t>
  </si>
  <si>
    <t>C030</t>
  </si>
  <si>
    <t>C031</t>
  </si>
  <si>
    <t>C032</t>
  </si>
  <si>
    <t>C033</t>
  </si>
  <si>
    <t>C034</t>
  </si>
  <si>
    <t>C035</t>
  </si>
  <si>
    <t>C036</t>
  </si>
  <si>
    <t>C037</t>
  </si>
  <si>
    <t>C038</t>
  </si>
  <si>
    <t>C039</t>
  </si>
  <si>
    <t>C040</t>
  </si>
  <si>
    <t>C041</t>
  </si>
  <si>
    <t>C042</t>
  </si>
  <si>
    <t>C043</t>
  </si>
  <si>
    <t>C044</t>
  </si>
  <si>
    <t>C045</t>
  </si>
  <si>
    <t>C046</t>
  </si>
  <si>
    <t>C047</t>
  </si>
  <si>
    <t>C048</t>
  </si>
  <si>
    <t>C049</t>
  </si>
  <si>
    <t>C050</t>
  </si>
  <si>
    <t>C051</t>
  </si>
  <si>
    <t>C052</t>
  </si>
  <si>
    <t>C053</t>
  </si>
  <si>
    <t>C054</t>
  </si>
  <si>
    <t>C055</t>
  </si>
  <si>
    <t>C056</t>
  </si>
  <si>
    <t>C057</t>
  </si>
  <si>
    <t>C058</t>
  </si>
  <si>
    <t>C059</t>
  </si>
  <si>
    <t>C060</t>
  </si>
  <si>
    <t>C061</t>
  </si>
  <si>
    <t>C062</t>
  </si>
  <si>
    <t>C063</t>
  </si>
  <si>
    <t>C064</t>
  </si>
  <si>
    <t>C065</t>
  </si>
  <si>
    <t>C066</t>
  </si>
  <si>
    <t>C067</t>
  </si>
  <si>
    <t>C068</t>
  </si>
  <si>
    <t>C069</t>
  </si>
  <si>
    <t>C070</t>
  </si>
  <si>
    <t>C071</t>
  </si>
  <si>
    <t>C072</t>
  </si>
  <si>
    <t>C073</t>
  </si>
  <si>
    <t>C074</t>
  </si>
  <si>
    <t>C075</t>
  </si>
  <si>
    <t>C076</t>
  </si>
  <si>
    <t>C077</t>
  </si>
  <si>
    <t>C078</t>
  </si>
  <si>
    <t>C079</t>
  </si>
  <si>
    <t>C080</t>
  </si>
  <si>
    <t>C081</t>
  </si>
  <si>
    <t>C082</t>
  </si>
  <si>
    <t>C083</t>
  </si>
  <si>
    <t>C084</t>
  </si>
  <si>
    <t>C085</t>
  </si>
  <si>
    <t>C086</t>
  </si>
  <si>
    <t>C087</t>
  </si>
  <si>
    <t>C088</t>
  </si>
  <si>
    <t>C089</t>
  </si>
  <si>
    <t>C090</t>
  </si>
  <si>
    <t>C091</t>
  </si>
  <si>
    <t>C092</t>
  </si>
  <si>
    <t>C093</t>
  </si>
  <si>
    <t>C094</t>
  </si>
  <si>
    <t>C095</t>
  </si>
  <si>
    <t>C096</t>
  </si>
  <si>
    <t>C097</t>
  </si>
  <si>
    <t>C098</t>
  </si>
  <si>
    <t>C099</t>
  </si>
  <si>
    <t>C100</t>
  </si>
  <si>
    <t>Health Status</t>
  </si>
  <si>
    <t>1. BMI</t>
  </si>
  <si>
    <t>1. Health Status</t>
  </si>
  <si>
    <t>Age Group</t>
  </si>
  <si>
    <t>Healthy Weight</t>
  </si>
  <si>
    <t>Underweight</t>
  </si>
  <si>
    <t>Grand Total</t>
  </si>
  <si>
    <t>24-36 Months</t>
  </si>
  <si>
    <t>.</t>
  </si>
  <si>
    <t>Average of BMI</t>
  </si>
  <si>
    <t>Average of Daily_Sugar_Drinks</t>
  </si>
  <si>
    <t>Average of ScreenTime_Hours</t>
  </si>
  <si>
    <t>Daily_Fruit_Servings/day</t>
  </si>
  <si>
    <t>Daily_Veggie_Servings/day</t>
  </si>
  <si>
    <t>37-48 Months</t>
  </si>
  <si>
    <t>49-60 Months</t>
  </si>
  <si>
    <t>Average of Daily_Fruit_Servings</t>
  </si>
  <si>
    <t>Highest BMI</t>
  </si>
  <si>
    <t>Lowest BMI</t>
  </si>
  <si>
    <t>Green Colour</t>
  </si>
  <si>
    <t>Highest Fruit /day</t>
  </si>
  <si>
    <t>Green colour</t>
  </si>
  <si>
    <t>Lowest Fruit/day</t>
  </si>
  <si>
    <t>Yellow  Colour</t>
  </si>
  <si>
    <t>Orange Colour</t>
  </si>
  <si>
    <t>Data Entry Validation – Region Column</t>
  </si>
  <si>
    <t>Valid Regions:</t>
  </si>
  <si>
    <t>Test Entry (select from dropdown):</t>
  </si>
  <si>
    <t>Total Children</t>
  </si>
  <si>
    <t>Avg BMI</t>
  </si>
  <si>
    <t>Healthy Weight %</t>
  </si>
  <si>
    <t>Avg Sugar Drinks/Day</t>
  </si>
  <si>
    <t>Avg Screen Time (hrs)</t>
  </si>
  <si>
    <t>HEALTHY FUTURES – Child Nutrition &amp; Growth Dashboard</t>
  </si>
  <si>
    <t>Count of ChildID</t>
  </si>
  <si>
    <t>Sum of 1. BMI</t>
  </si>
  <si>
    <t>Average of 1. BMI</t>
  </si>
  <si>
    <t>Healthy Futures – Child Nutrition &amp; Growth Analysis Report</t>
  </si>
  <si>
    <t>Key Finding 1: Sugar Drinks Strongly Linked to Higher BMI</t>
  </si>
  <si>
    <t>Key Finding 2: Screen Time Correlates with Unhealthy BMI</t>
  </si>
  <si>
    <t>Obese children average N/A hours/day of screen time vs. 1.69 hours/day for Healthy Weight peers. Reducing sedentary screen time is closely tied to improved weight outcomes.</t>
  </si>
  <si>
    <t>Key Finding 3: Regional BMI Disparities Observed</t>
  </si>
  <si>
    <t>Region 'West' records the highest average BMI (17.91) while Region 'East' records the lowest (16.37). These disparities may reflect differences in access to healthy food and physical activity.</t>
  </si>
  <si>
    <t>Key Finding 4: Low Fruit &amp; Vegetable Intake Among High-BMI Children</t>
  </si>
  <si>
    <t>Children with higher daily fruit and vegetable servings tend to have lower average BMI. Increasing access to fresh produce, particularly in high-BMI regions, can meaningfully improve growth metrics.</t>
  </si>
  <si>
    <t>ACTIONABLE RECOMMENDATIONS</t>
  </si>
  <si>
    <t>Recommendation 1: Launch Targeted 'Cut the Sugar' Campaign in High-BMI Regions</t>
  </si>
  <si>
    <t>Focusing on Region 'West', Healthy Futures should implement a targeted public awareness campaign highlighting the dangers of sugary drinks. Partner with local schools and community centres to replace sugary beverages with water and low-sugar alternatives in lunch programmes.</t>
  </si>
  <si>
    <t>Recommendation 2: Introduce 'Screen-Free &amp; Active' School Programmes</t>
  </si>
  <si>
    <t>Given the strong correlation between screen time and higher BMI, Healthy Futures should advocate for structured physical activity breaks in schools, aiming to reduce daily screen time below 1.5 hours for children aged 24–60 months. Pilot in the top two high-BMI regions and measure BMI change at 6-month follow-up.</t>
  </si>
  <si>
    <t>Recommendation 3: Increase Fruit &amp; Vegetable Access in Underserved Regions</t>
  </si>
  <si>
    <t>Partner with local governments to subsidise fresh produce in regions with below-average fruit servings. A community garden programme combined with nutrition education for parents can improve dietary diversity and reduce BMI-related risk factors within 12 months.</t>
  </si>
  <si>
    <t>Children classified as Obese or Overweight consume an average of N/A and N/A sugary drinks per day respectively, compared to 1.68 for Healthy Weight children. This strong correlation suggests that sugary drink consumption is a primary driver of elevated BMI in this cohort.</t>
  </si>
  <si>
    <t>SUMMARY</t>
  </si>
</sst>
</file>

<file path=xl/styles.xml><?xml version="1.0" encoding="utf-8"?>
<styleSheet xmlns="http://schemas.openxmlformats.org/spreadsheetml/2006/main" xmlns:mc="http://schemas.openxmlformats.org/markup-compatibility/2006" xmlns:x14ac="http://schemas.microsoft.com/office/spreadsheetml/2009/9/ac" mc:Ignorable="x14ac">
  <fonts count="31" x14ac:knownFonts="1">
    <font>
      <sz val="11"/>
      <color theme="1"/>
      <name val="Calibri"/>
      <family val="2"/>
      <scheme val="minor"/>
    </font>
    <font>
      <sz val="11"/>
      <color theme="1"/>
      <name val="Calibri"/>
      <family val="2"/>
      <scheme val="minor"/>
    </font>
    <font>
      <b/>
      <sz val="18"/>
      <color theme="3"/>
      <name val="Cambria"/>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65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b/>
      <sz val="14"/>
      <color rgb="FF1F3864"/>
      <name val="Arial"/>
      <charset val="1"/>
    </font>
    <font>
      <b/>
      <sz val="10"/>
      <name val="Arial"/>
      <charset val="1"/>
    </font>
    <font>
      <sz val="10"/>
      <name val="Arial"/>
      <charset val="1"/>
    </font>
    <font>
      <b/>
      <sz val="16"/>
      <color rgb="FFFFFFFF"/>
      <name val="Arial"/>
      <charset val="1"/>
    </font>
    <font>
      <b/>
      <sz val="9"/>
      <color rgb="FFFFFFFF"/>
      <name val="Arial"/>
      <charset val="1"/>
    </font>
    <font>
      <b/>
      <sz val="18"/>
      <color rgb="FF2E75B6"/>
      <name val="Arial"/>
      <charset val="1"/>
    </font>
    <font>
      <b/>
      <sz val="18"/>
      <color rgb="FF70AD47"/>
      <name val="Arial"/>
      <charset val="1"/>
    </font>
    <font>
      <b/>
      <sz val="18"/>
      <color rgb="FFFF0000"/>
      <name val="Arial"/>
      <charset val="1"/>
    </font>
    <font>
      <b/>
      <sz val="18"/>
      <color rgb="FFED7D31"/>
      <name val="Arial"/>
      <charset val="1"/>
    </font>
    <font>
      <b/>
      <sz val="18"/>
      <color rgb="FFFFFFFF"/>
      <name val="Arial"/>
      <charset val="1"/>
    </font>
    <font>
      <b/>
      <sz val="12"/>
      <color rgb="FF2E75B6"/>
      <name val="Arial"/>
      <charset val="1"/>
    </font>
    <font>
      <b/>
      <sz val="11"/>
      <color rgb="FF1F3864"/>
      <name val="Arial"/>
      <charset val="1"/>
    </font>
    <font>
      <b/>
      <sz val="12"/>
      <color rgb="FFFFFFFF"/>
      <name val="Arial"/>
      <charset val="1"/>
    </font>
  </fonts>
  <fills count="41">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00B050"/>
        <bgColor indexed="64"/>
      </patternFill>
    </fill>
    <fill>
      <patternFill patternType="solid">
        <fgColor rgb="FFD6E4F0"/>
        <bgColor rgb="FFDDEBF7"/>
      </patternFill>
    </fill>
    <fill>
      <patternFill patternType="solid">
        <fgColor rgb="FF1F3864"/>
        <bgColor rgb="FF333333"/>
      </patternFill>
    </fill>
    <fill>
      <patternFill patternType="solid">
        <fgColor rgb="FF2E75B6"/>
        <bgColor rgb="FF0066CC"/>
      </patternFill>
    </fill>
    <fill>
      <patternFill patternType="solid">
        <fgColor rgb="FF70AD47"/>
        <bgColor rgb="FF878787"/>
      </patternFill>
    </fill>
    <fill>
      <patternFill patternType="solid">
        <fgColor rgb="FFFF0000"/>
        <bgColor rgb="FF993300"/>
      </patternFill>
    </fill>
    <fill>
      <patternFill patternType="solid">
        <fgColor rgb="FFED7D31"/>
        <bgColor rgb="FFFF8080"/>
      </patternFill>
    </fill>
    <fill>
      <patternFill patternType="solid">
        <fgColor rgb="FF7030A0"/>
        <bgColor rgb="FF333333"/>
      </patternFill>
    </fill>
  </fills>
  <borders count="23">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right/>
      <top/>
      <bottom style="thick">
        <color rgb="FF2E75B6"/>
      </bottom>
      <diagonal/>
    </border>
    <border>
      <left/>
      <right/>
      <top/>
      <bottom style="thick">
        <color rgb="FF70AD47"/>
      </bottom>
      <diagonal/>
    </border>
    <border>
      <left/>
      <right/>
      <top/>
      <bottom style="thick">
        <color rgb="FFFF0000"/>
      </bottom>
      <diagonal/>
    </border>
    <border>
      <left/>
      <right/>
      <top/>
      <bottom style="thick">
        <color rgb="FFED7D31"/>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thick">
        <color rgb="FF2E75B6"/>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7"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7"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7"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7"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7"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7" fillId="32" borderId="0" applyNumberFormat="0" applyBorder="0" applyAlignment="0" applyProtection="0"/>
  </cellStyleXfs>
  <cellXfs count="44">
    <xf numFmtId="0" fontId="0" fillId="0" borderId="0" xfId="0"/>
    <xf numFmtId="2" fontId="0" fillId="0" borderId="0" xfId="0" applyNumberFormat="1"/>
    <xf numFmtId="1" fontId="0" fillId="0" borderId="0" xfId="0" applyNumberFormat="1"/>
    <xf numFmtId="0" fontId="0" fillId="33" borderId="0" xfId="0" applyFill="1"/>
    <xf numFmtId="0" fontId="0" fillId="0" borderId="0" xfId="0" pivotButton="1"/>
    <xf numFmtId="0" fontId="0" fillId="0" borderId="0" xfId="0" applyAlignment="1">
      <alignment horizontal="left"/>
    </xf>
    <xf numFmtId="0" fontId="0" fillId="0" borderId="0" xfId="0" applyNumberFormat="1"/>
    <xf numFmtId="0" fontId="19" fillId="0" borderId="0" xfId="0" applyFont="1"/>
    <xf numFmtId="0" fontId="19" fillId="34" borderId="0" xfId="0" applyFont="1" applyFill="1"/>
    <xf numFmtId="0" fontId="20" fillId="0" borderId="0" xfId="0" applyFont="1"/>
    <xf numFmtId="0" fontId="0" fillId="0" borderId="0" xfId="0" applyFont="1"/>
    <xf numFmtId="0" fontId="18" fillId="0" borderId="0" xfId="0" applyFont="1" applyBorder="1"/>
    <xf numFmtId="0" fontId="23" fillId="0" borderId="10" xfId="0" applyFont="1" applyBorder="1" applyAlignment="1">
      <alignment horizontal="center" vertical="center"/>
    </xf>
    <xf numFmtId="0" fontId="24" fillId="0" borderId="11" xfId="0" applyFont="1" applyBorder="1" applyAlignment="1">
      <alignment horizontal="center" vertical="center"/>
    </xf>
    <xf numFmtId="0" fontId="25" fillId="0" borderId="12" xfId="0" applyFont="1" applyBorder="1" applyAlignment="1">
      <alignment horizontal="center" vertical="center"/>
    </xf>
    <xf numFmtId="0" fontId="26" fillId="0" borderId="13" xfId="0" applyFont="1" applyBorder="1" applyAlignment="1">
      <alignment horizontal="center" vertical="center"/>
    </xf>
    <xf numFmtId="0" fontId="22" fillId="36" borderId="0" xfId="0" applyFont="1" applyFill="1" applyBorder="1" applyAlignment="1">
      <alignment horizontal="center"/>
    </xf>
    <xf numFmtId="0" fontId="22" fillId="37" borderId="0" xfId="0" applyFont="1" applyFill="1" applyBorder="1" applyAlignment="1">
      <alignment horizontal="center"/>
    </xf>
    <xf numFmtId="0" fontId="22" fillId="38" borderId="0" xfId="0" applyFont="1" applyFill="1" applyBorder="1" applyAlignment="1">
      <alignment horizontal="center"/>
    </xf>
    <xf numFmtId="0" fontId="22" fillId="39" borderId="0" xfId="0" applyFont="1" applyFill="1" applyBorder="1" applyAlignment="1">
      <alignment horizontal="center"/>
    </xf>
    <xf numFmtId="0" fontId="21" fillId="40" borderId="0" xfId="0" applyFont="1" applyFill="1" applyBorder="1" applyAlignment="1">
      <alignment horizontal="center" vertical="center"/>
    </xf>
    <xf numFmtId="2" fontId="24" fillId="0" borderId="11" xfId="0" applyNumberFormat="1" applyFont="1" applyBorder="1" applyAlignment="1">
      <alignment horizontal="center" vertical="center"/>
    </xf>
    <xf numFmtId="2" fontId="25" fillId="0" borderId="12" xfId="0" applyNumberFormat="1" applyFont="1" applyBorder="1" applyAlignment="1">
      <alignment horizontal="center" vertical="center"/>
    </xf>
    <xf numFmtId="2" fontId="26" fillId="0" borderId="13" xfId="0" applyNumberFormat="1" applyFont="1" applyBorder="1" applyAlignment="1">
      <alignment horizontal="center" vertical="center"/>
    </xf>
    <xf numFmtId="10" fontId="0" fillId="0" borderId="0" xfId="0" applyNumberFormat="1"/>
    <xf numFmtId="10" fontId="24" fillId="0" borderId="11" xfId="0" applyNumberFormat="1" applyFont="1" applyBorder="1" applyAlignment="1">
      <alignment horizontal="center" vertical="center"/>
    </xf>
    <xf numFmtId="0" fontId="21" fillId="40" borderId="14" xfId="0" applyFont="1" applyFill="1" applyBorder="1" applyAlignment="1">
      <alignment horizontal="center" vertical="center"/>
    </xf>
    <xf numFmtId="0" fontId="21" fillId="40" borderId="15" xfId="0" applyFont="1" applyFill="1" applyBorder="1" applyAlignment="1">
      <alignment horizontal="center" vertical="center"/>
    </xf>
    <xf numFmtId="0" fontId="21" fillId="40" borderId="16" xfId="0" applyFont="1" applyFill="1" applyBorder="1" applyAlignment="1">
      <alignment horizontal="center" vertical="center"/>
    </xf>
    <xf numFmtId="0" fontId="21" fillId="40" borderId="17" xfId="0" applyFont="1" applyFill="1" applyBorder="1" applyAlignment="1">
      <alignment horizontal="center" vertical="center"/>
    </xf>
    <xf numFmtId="0" fontId="21" fillId="40" borderId="18" xfId="0" applyFont="1" applyFill="1" applyBorder="1" applyAlignment="1">
      <alignment horizontal="center" vertical="center"/>
    </xf>
    <xf numFmtId="0" fontId="0" fillId="0" borderId="17" xfId="0" applyBorder="1"/>
    <xf numFmtId="0" fontId="0" fillId="0" borderId="0" xfId="0" applyBorder="1"/>
    <xf numFmtId="0" fontId="0" fillId="0" borderId="18" xfId="0" applyBorder="1"/>
    <xf numFmtId="0" fontId="22" fillId="36" borderId="17" xfId="0" applyFont="1" applyFill="1" applyBorder="1" applyAlignment="1">
      <alignment horizontal="center"/>
    </xf>
    <xf numFmtId="1" fontId="23" fillId="0" borderId="19" xfId="0" applyNumberFormat="1" applyFont="1" applyBorder="1" applyAlignment="1">
      <alignment horizontal="center" vertical="center"/>
    </xf>
    <xf numFmtId="0" fontId="0" fillId="0" borderId="20" xfId="0" applyBorder="1"/>
    <xf numFmtId="0" fontId="0" fillId="0" borderId="21" xfId="0" applyBorder="1"/>
    <xf numFmtId="0" fontId="0" fillId="0" borderId="22" xfId="0" applyBorder="1"/>
    <xf numFmtId="0" fontId="27" fillId="35" borderId="0" xfId="0" applyFont="1" applyFill="1" applyBorder="1" applyAlignment="1">
      <alignment horizontal="center" vertical="center"/>
    </xf>
    <xf numFmtId="0" fontId="28" fillId="0" borderId="0" xfId="0" applyFont="1" applyBorder="1" applyAlignment="1">
      <alignment horizontal="center"/>
    </xf>
    <xf numFmtId="0" fontId="29" fillId="34" borderId="0" xfId="0" applyFont="1" applyFill="1" applyBorder="1"/>
    <xf numFmtId="0" fontId="30" fillId="36" borderId="0" xfId="0" applyFont="1" applyFill="1" applyBorder="1" applyAlignment="1">
      <alignment horizontal="center"/>
    </xf>
    <xf numFmtId="0" fontId="20" fillId="0" borderId="0" xfId="0" applyFont="1" applyBorder="1" applyAlignment="1">
      <alignment horizontal="left" vertical="top" wrapText="1"/>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16">
    <dxf>
      <numFmt numFmtId="14" formatCode="0.00%"/>
    </dxf>
    <dxf>
      <numFmt numFmtId="2" formatCode="0.00"/>
    </dxf>
    <dxf>
      <numFmt numFmtId="2" formatCode="0.00"/>
    </dxf>
    <dxf>
      <numFmt numFmtId="0" formatCode="General"/>
    </dxf>
    <dxf>
      <numFmt numFmtId="0" formatCode="General"/>
    </dxf>
    <dxf>
      <numFmt numFmtId="1" formatCode="0"/>
    </dxf>
    <dxf>
      <numFmt numFmtId="2" formatCode="0.00"/>
    </dxf>
    <dxf>
      <numFmt numFmtId="1" formatCode="0"/>
    </dxf>
    <dxf>
      <numFmt numFmtId="1" formatCode="0"/>
    </dxf>
    <dxf>
      <numFmt numFmtId="1" formatCode="0"/>
    </dxf>
    <dxf>
      <numFmt numFmtId="2" formatCode="0.00"/>
    </dxf>
    <dxf>
      <numFmt numFmtId="2" formatCode="0.00"/>
    </dxf>
    <dxf>
      <numFmt numFmtId="2" formatCode="0.00"/>
    </dxf>
    <dxf>
      <numFmt numFmtId="2" formatCode="0.00"/>
    </dxf>
    <dxf>
      <numFmt numFmtId="2" formatCode="0.00"/>
    </dxf>
    <dxf>
      <numFmt numFmtId="2" formatCode="0.00"/>
    </dxf>
  </dxf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07/relationships/slicerCache" Target="slicerCaches/slicerCache3.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2.xml"/><Relationship Id="rId5" Type="http://schemas.openxmlformats.org/officeDocument/2006/relationships/worksheet" Target="worksheets/sheet5.xml"/><Relationship Id="rId15" Type="http://schemas.openxmlformats.org/officeDocument/2006/relationships/sharedStrings" Target="sharedStrings.xml"/><Relationship Id="rId10" Type="http://schemas.microsoft.com/office/2007/relationships/slicerCache" Target="slicerCaches/slicerCache1.xml"/><Relationship Id="rId4" Type="http://schemas.openxmlformats.org/officeDocument/2006/relationships/worksheet" Target="worksheets/sheet4.xml"/><Relationship Id="rId9" Type="http://schemas.openxmlformats.org/officeDocument/2006/relationships/pivotCacheDefinition" Target="pivotCache/pivotCacheDefinition1.xml"/><Relationship Id="rId14" Type="http://schemas.openxmlformats.org/officeDocument/2006/relationships/styles" Target="styles.xml"/></Relationships>
</file>

<file path=xl/charts/chart1.xml><?xml version="1.0" encoding="utf-8"?>
<c:chartSpace xmlns:c="http://schemas.openxmlformats.org/drawingml/2006/chart" xmlns:a="http://schemas.openxmlformats.org/drawingml/2006/main" xmlns:r="http://schemas.openxmlformats.org/officeDocument/2006/relationships">
  <c:date1904 val="0"/>
  <c:lang val="en-IN"/>
  <c:roundedCorners val="0"/>
  <mc:AlternateContent xmlns:mc="http://schemas.openxmlformats.org/markup-compatibility/2006">
    <mc:Choice xmlns:c14="http://schemas.microsoft.com/office/drawing/2007/8/2/chart" Requires="c14">
      <c14:style val="102"/>
    </mc:Choice>
    <mc:Fallback>
      <c:style val="2"/>
    </mc:Fallback>
  </mc:AlternateContent>
  <c:pivotSource>
    <c:name>[Child_Health_Data Cleaned.xlsx]Health Status by Age!HSA</c:name>
    <c:fmtId val="2"/>
  </c:pivotSource>
  <c:chart>
    <c:title>
      <c:tx>
        <c:rich>
          <a:bodyPr/>
          <a:lstStyle/>
          <a:p>
            <a:pPr>
              <a:defRPr/>
            </a:pPr>
            <a:r>
              <a:rPr lang="en-IN"/>
              <a:t>Health</a:t>
            </a:r>
            <a:r>
              <a:rPr lang="en-IN" baseline="0"/>
              <a:t> Status by Age Group</a:t>
            </a:r>
            <a:endParaRPr lang="en-IN"/>
          </a:p>
        </c:rich>
      </c:tx>
      <c:layout/>
      <c:overlay val="0"/>
    </c:title>
    <c:autoTitleDeleted val="0"/>
    <c:pivotFmts>
      <c:pivotFmt>
        <c:idx val="0"/>
      </c:pivotFmt>
      <c:pivotFmt>
        <c:idx val="1"/>
      </c:pivotFmt>
      <c:pivotFmt>
        <c:idx val="2"/>
      </c:pivotFmt>
      <c:pivotFmt>
        <c:idx val="3"/>
        <c:marker>
          <c:symbol val="none"/>
        </c:marker>
        <c:dLbl>
          <c:idx val="0"/>
          <c:spPr/>
          <c:txPr>
            <a:bodyPr/>
            <a:lstStyle/>
            <a:p>
              <a:pPr>
                <a:defRPr/>
              </a:pPr>
              <a:endParaRPr lang="en-US"/>
            </a:p>
          </c:txPr>
          <c:showLegendKey val="0"/>
          <c:showVal val="1"/>
          <c:showCatName val="0"/>
          <c:showSerName val="0"/>
          <c:showPercent val="0"/>
          <c:showBubbleSize val="0"/>
        </c:dLbl>
      </c:pivotFmt>
      <c:pivotFmt>
        <c:idx val="4"/>
        <c:marker>
          <c:symbol val="none"/>
        </c:marker>
        <c:dLbl>
          <c:idx val="0"/>
          <c:spPr/>
          <c:txPr>
            <a:bodyPr/>
            <a:lstStyle/>
            <a:p>
              <a:pPr>
                <a:defRPr/>
              </a:pPr>
              <a:endParaRPr lang="en-US"/>
            </a:p>
          </c:txPr>
          <c:showLegendKey val="0"/>
          <c:showVal val="1"/>
          <c:showCatName val="0"/>
          <c:showSerName val="0"/>
          <c:showPercent val="0"/>
          <c:showBubbleSize val="0"/>
        </c:dLbl>
      </c:pivotFmt>
      <c:pivotFmt>
        <c:idx val="5"/>
      </c:pivotFmt>
      <c:pivotFmt>
        <c:idx val="6"/>
      </c:pivotFmt>
      <c:pivotFmt>
        <c:idx val="7"/>
        <c:marker>
          <c:symbol val="none"/>
        </c:marker>
        <c:dLbl>
          <c:idx val="0"/>
          <c:spPr/>
          <c:txPr>
            <a:bodyPr/>
            <a:lstStyle/>
            <a:p>
              <a:pPr>
                <a:defRPr/>
              </a:pPr>
              <a:endParaRPr lang="en-US"/>
            </a:p>
          </c:txPr>
          <c:showLegendKey val="0"/>
          <c:showVal val="1"/>
          <c:showCatName val="0"/>
          <c:showSerName val="0"/>
          <c:showPercent val="0"/>
          <c:showBubbleSize val="0"/>
        </c:dLbl>
      </c:pivotFmt>
      <c:pivotFmt>
        <c:idx val="8"/>
        <c:marker>
          <c:symbol val="none"/>
        </c:marker>
        <c:dLbl>
          <c:idx val="0"/>
          <c:spPr/>
          <c:txPr>
            <a:bodyPr/>
            <a:lstStyle/>
            <a:p>
              <a:pPr>
                <a:defRPr/>
              </a:pPr>
              <a:endParaRPr lang="en-US"/>
            </a:p>
          </c:txPr>
          <c:showLegendKey val="0"/>
          <c:showVal val="1"/>
          <c:showCatName val="0"/>
          <c:showSerName val="0"/>
          <c:showPercent val="0"/>
          <c:showBubbleSize val="0"/>
        </c:dLbl>
      </c:pivotFmt>
      <c:pivotFmt>
        <c:idx val="9"/>
        <c:marker>
          <c:symbol val="none"/>
        </c:marker>
        <c:dLbl>
          <c:idx val="0"/>
          <c:layout/>
          <c:spPr/>
          <c:txPr>
            <a:bodyPr/>
            <a:lstStyle/>
            <a:p>
              <a:pPr>
                <a:defRPr/>
              </a:pPr>
              <a:endParaRPr lang="en-US"/>
            </a:p>
          </c:txPr>
          <c:showLegendKey val="0"/>
          <c:showVal val="1"/>
          <c:showCatName val="0"/>
          <c:showSerName val="0"/>
          <c:showPercent val="0"/>
          <c:showBubbleSize val="0"/>
        </c:dLbl>
      </c:pivotFmt>
      <c:pivotFmt>
        <c:idx val="10"/>
        <c:marker>
          <c:symbol val="none"/>
        </c:marker>
        <c:dLbl>
          <c:idx val="0"/>
          <c:layout/>
          <c:spPr/>
          <c:txPr>
            <a:bodyPr/>
            <a:lstStyle/>
            <a:p>
              <a:pPr>
                <a:defRPr/>
              </a:pPr>
              <a:endParaRPr lang="en-US"/>
            </a:p>
          </c:txPr>
          <c:showLegendKey val="0"/>
          <c:showVal val="1"/>
          <c:showCatName val="0"/>
          <c:showSerName val="0"/>
          <c:showPercent val="0"/>
          <c:showBubbleSize val="0"/>
        </c:dLbl>
      </c:pivotFmt>
      <c:pivotFmt>
        <c:idx val="11"/>
        <c:marker>
          <c:symbol val="none"/>
        </c:marker>
      </c:pivotFmt>
    </c:pivotFmts>
    <c:plotArea>
      <c:layout/>
      <c:barChart>
        <c:barDir val="col"/>
        <c:grouping val="clustered"/>
        <c:varyColors val="0"/>
        <c:ser>
          <c:idx val="0"/>
          <c:order val="0"/>
          <c:tx>
            <c:strRef>
              <c:f>'Health Status by Age'!$B$2:$B$3</c:f>
              <c:strCache>
                <c:ptCount val="1"/>
                <c:pt idx="0">
                  <c:v>Healthy Weight</c:v>
                </c:pt>
              </c:strCache>
            </c:strRef>
          </c:tx>
          <c:invertIfNegative val="0"/>
          <c:dLbls>
            <c:spPr/>
            <c:txPr>
              <a:bodyPr/>
              <a:lstStyle/>
              <a:p>
                <a:pPr>
                  <a:defRPr/>
                </a:pPr>
                <a:endParaRPr lang="en-US"/>
              </a:p>
            </c:txPr>
            <c:showLegendKey val="0"/>
            <c:showVal val="1"/>
            <c:showCatName val="0"/>
            <c:showSerName val="0"/>
            <c:showPercent val="0"/>
            <c:showBubbleSize val="0"/>
            <c:showLeaderLines val="0"/>
          </c:dLbls>
          <c:cat>
            <c:strRef>
              <c:f>'Health Status by Age'!$A$4:$A$7</c:f>
              <c:strCache>
                <c:ptCount val="3"/>
                <c:pt idx="0">
                  <c:v>24-36 Months</c:v>
                </c:pt>
                <c:pt idx="1">
                  <c:v>37-48 Months</c:v>
                </c:pt>
                <c:pt idx="2">
                  <c:v>49-60 Months</c:v>
                </c:pt>
              </c:strCache>
            </c:strRef>
          </c:cat>
          <c:val>
            <c:numRef>
              <c:f>'Health Status by Age'!$B$4:$B$7</c:f>
              <c:numCache>
                <c:formatCode>General</c:formatCode>
                <c:ptCount val="3"/>
                <c:pt idx="0">
                  <c:v>10</c:v>
                </c:pt>
                <c:pt idx="1">
                  <c:v>12</c:v>
                </c:pt>
                <c:pt idx="2">
                  <c:v>12</c:v>
                </c:pt>
              </c:numCache>
            </c:numRef>
          </c:val>
        </c:ser>
        <c:ser>
          <c:idx val="1"/>
          <c:order val="1"/>
          <c:tx>
            <c:strRef>
              <c:f>'Health Status by Age'!$C$2:$C$3</c:f>
              <c:strCache>
                <c:ptCount val="1"/>
                <c:pt idx="0">
                  <c:v>Underweight</c:v>
                </c:pt>
              </c:strCache>
            </c:strRef>
          </c:tx>
          <c:invertIfNegative val="0"/>
          <c:dLbls>
            <c:spPr/>
            <c:txPr>
              <a:bodyPr/>
              <a:lstStyle/>
              <a:p>
                <a:pPr>
                  <a:defRPr/>
                </a:pPr>
                <a:endParaRPr lang="en-US"/>
              </a:p>
            </c:txPr>
            <c:showLegendKey val="0"/>
            <c:showVal val="1"/>
            <c:showCatName val="0"/>
            <c:showSerName val="0"/>
            <c:showPercent val="0"/>
            <c:showBubbleSize val="0"/>
            <c:showLeaderLines val="0"/>
          </c:dLbls>
          <c:cat>
            <c:strRef>
              <c:f>'Health Status by Age'!$A$4:$A$7</c:f>
              <c:strCache>
                <c:ptCount val="3"/>
                <c:pt idx="0">
                  <c:v>24-36 Months</c:v>
                </c:pt>
                <c:pt idx="1">
                  <c:v>37-48 Months</c:v>
                </c:pt>
                <c:pt idx="2">
                  <c:v>49-60 Months</c:v>
                </c:pt>
              </c:strCache>
            </c:strRef>
          </c:cat>
          <c:val>
            <c:numRef>
              <c:f>'Health Status by Age'!$C$4:$C$7</c:f>
              <c:numCache>
                <c:formatCode>General</c:formatCode>
                <c:ptCount val="3"/>
                <c:pt idx="0">
                  <c:v>29</c:v>
                </c:pt>
                <c:pt idx="1">
                  <c:v>18</c:v>
                </c:pt>
                <c:pt idx="2">
                  <c:v>19</c:v>
                </c:pt>
              </c:numCache>
            </c:numRef>
          </c:val>
        </c:ser>
        <c:dLbls>
          <c:showLegendKey val="0"/>
          <c:showVal val="1"/>
          <c:showCatName val="0"/>
          <c:showSerName val="0"/>
          <c:showPercent val="0"/>
          <c:showBubbleSize val="0"/>
        </c:dLbls>
        <c:gapWidth val="75"/>
        <c:axId val="181159808"/>
        <c:axId val="181171712"/>
      </c:barChart>
      <c:catAx>
        <c:axId val="181159808"/>
        <c:scaling>
          <c:orientation val="minMax"/>
        </c:scaling>
        <c:delete val="0"/>
        <c:axPos val="b"/>
        <c:majorTickMark val="none"/>
        <c:minorTickMark val="none"/>
        <c:tickLblPos val="nextTo"/>
        <c:crossAx val="181171712"/>
        <c:crosses val="autoZero"/>
        <c:auto val="1"/>
        <c:lblAlgn val="ctr"/>
        <c:lblOffset val="100"/>
        <c:noMultiLvlLbl val="0"/>
      </c:catAx>
      <c:valAx>
        <c:axId val="181171712"/>
        <c:scaling>
          <c:orientation val="minMax"/>
        </c:scaling>
        <c:delete val="0"/>
        <c:axPos val="l"/>
        <c:numFmt formatCode="General" sourceLinked="1"/>
        <c:majorTickMark val="none"/>
        <c:minorTickMark val="none"/>
        <c:tickLblPos val="nextTo"/>
        <c:crossAx val="181159808"/>
        <c:crosses val="autoZero"/>
        <c:crossBetween val="between"/>
      </c:valAx>
    </c:plotArea>
    <c:legend>
      <c:legendPos val="b"/>
      <c:layout/>
      <c:overlay val="0"/>
    </c:legend>
    <c:plotVisOnly val="1"/>
    <c:dispBlanksAs val="gap"/>
    <c:showDLblsOverMax val="0"/>
  </c:chart>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Lst>
</c:chartSpace>
</file>

<file path=xl/charts/chart2.xml><?xml version="1.0" encoding="utf-8"?>
<c:chartSpace xmlns:c="http://schemas.openxmlformats.org/drawingml/2006/chart" xmlns:a="http://schemas.openxmlformats.org/drawingml/2006/main" xmlns:r="http://schemas.openxmlformats.org/officeDocument/2006/relationships">
  <c:date1904 val="0"/>
  <c:lang val="en-IN"/>
  <c:roundedCorners val="0"/>
  <mc:AlternateContent xmlns:mc="http://schemas.openxmlformats.org/markup-compatibility/2006">
    <mc:Choice xmlns:c14="http://schemas.microsoft.com/office/drawing/2007/8/2/chart" Requires="c14">
      <c14:style val="102"/>
    </mc:Choice>
    <mc:Fallback>
      <c:style val="2"/>
    </mc:Fallback>
  </mc:AlternateContent>
  <c:pivotSource>
    <c:name>[Child_Health_Data Cleaned.xlsx]Sugar_Screen time Analysis!SSA</c:name>
    <c:fmtId val="8"/>
  </c:pivotSource>
  <c:chart>
    <c:autoTitleDeleted val="1"/>
    <c:pivotFmts>
      <c:pivotFmt>
        <c:idx val="0"/>
        <c:marker>
          <c:symbol val="none"/>
        </c:marker>
        <c:dLbl>
          <c:idx val="0"/>
          <c:spPr/>
          <c:txPr>
            <a:bodyPr/>
            <a:lstStyle/>
            <a:p>
              <a:pPr>
                <a:defRPr/>
              </a:pPr>
              <a:endParaRPr lang="en-US"/>
            </a:p>
          </c:txPr>
          <c:showLegendKey val="0"/>
          <c:showVal val="1"/>
          <c:showCatName val="0"/>
          <c:showSerName val="0"/>
          <c:showPercent val="0"/>
          <c:showBubbleSize val="0"/>
        </c:dLbl>
      </c:pivotFmt>
      <c:pivotFmt>
        <c:idx val="1"/>
        <c:marker>
          <c:symbol val="none"/>
        </c:marker>
        <c:dLbl>
          <c:idx val="0"/>
          <c:spPr/>
          <c:txPr>
            <a:bodyPr/>
            <a:lstStyle/>
            <a:p>
              <a:pPr>
                <a:defRPr/>
              </a:pPr>
              <a:endParaRPr lang="en-US"/>
            </a:p>
          </c:txPr>
          <c:showLegendKey val="0"/>
          <c:showVal val="1"/>
          <c:showCatName val="0"/>
          <c:showSerName val="0"/>
          <c:showPercent val="0"/>
          <c:showBubbleSize val="0"/>
        </c:dLbl>
      </c:pivotFmt>
      <c:pivotFmt>
        <c:idx val="2"/>
        <c:marker>
          <c:symbol val="none"/>
        </c:marker>
        <c:dLbl>
          <c:idx val="0"/>
          <c:spPr/>
          <c:txPr>
            <a:bodyPr/>
            <a:lstStyle/>
            <a:p>
              <a:pPr>
                <a:defRPr/>
              </a:pPr>
              <a:endParaRPr lang="en-US"/>
            </a:p>
          </c:txPr>
          <c:showLegendKey val="0"/>
          <c:showVal val="1"/>
          <c:showCatName val="0"/>
          <c:showSerName val="0"/>
          <c:showPercent val="0"/>
          <c:showBubbleSize val="0"/>
        </c:dLbl>
      </c:pivotFmt>
      <c:pivotFmt>
        <c:idx val="3"/>
        <c:marker>
          <c:symbol val="none"/>
        </c:marker>
        <c:dLbl>
          <c:idx val="0"/>
          <c:spPr/>
          <c:txPr>
            <a:bodyPr/>
            <a:lstStyle/>
            <a:p>
              <a:pPr>
                <a:defRPr/>
              </a:pPr>
              <a:endParaRPr lang="en-US"/>
            </a:p>
          </c:txPr>
          <c:showLegendKey val="0"/>
          <c:showVal val="1"/>
          <c:showCatName val="0"/>
          <c:showSerName val="0"/>
          <c:showPercent val="0"/>
          <c:showBubbleSize val="0"/>
        </c:dLbl>
      </c:pivotFmt>
      <c:pivotFmt>
        <c:idx val="4"/>
        <c:marker>
          <c:symbol val="none"/>
        </c:marker>
        <c:dLbl>
          <c:idx val="0"/>
          <c:spPr/>
          <c:txPr>
            <a:bodyPr/>
            <a:lstStyle/>
            <a:p>
              <a:pPr>
                <a:defRPr/>
              </a:pPr>
              <a:endParaRPr lang="en-US"/>
            </a:p>
          </c:txPr>
          <c:showLegendKey val="0"/>
          <c:showVal val="1"/>
          <c:showCatName val="0"/>
          <c:showSerName val="0"/>
          <c:showPercent val="0"/>
          <c:showBubbleSize val="0"/>
        </c:dLbl>
      </c:pivotFmt>
      <c:pivotFmt>
        <c:idx val="5"/>
        <c:marker>
          <c:symbol val="none"/>
        </c:marker>
        <c:dLbl>
          <c:idx val="0"/>
          <c:spPr/>
          <c:txPr>
            <a:bodyPr/>
            <a:lstStyle/>
            <a:p>
              <a:pPr>
                <a:defRPr/>
              </a:pPr>
              <a:endParaRPr lang="en-US"/>
            </a:p>
          </c:txPr>
          <c:showLegendKey val="0"/>
          <c:showVal val="1"/>
          <c:showCatName val="0"/>
          <c:showSerName val="0"/>
          <c:showPercent val="0"/>
          <c:showBubbleSize val="0"/>
        </c:dLbl>
      </c:pivotFmt>
      <c:pivotFmt>
        <c:idx val="6"/>
        <c:marker>
          <c:symbol val="none"/>
        </c:marker>
        <c:dLbl>
          <c:idx val="0"/>
          <c:spPr/>
          <c:txPr>
            <a:bodyPr/>
            <a:lstStyle/>
            <a:p>
              <a:pPr>
                <a:defRPr/>
              </a:pPr>
              <a:endParaRPr lang="en-US"/>
            </a:p>
          </c:txPr>
          <c:showLegendKey val="0"/>
          <c:showVal val="1"/>
          <c:showCatName val="0"/>
          <c:showSerName val="0"/>
          <c:showPercent val="0"/>
          <c:showBubbleSize val="0"/>
        </c:dLbl>
      </c:pivotFmt>
      <c:pivotFmt>
        <c:idx val="7"/>
        <c:marker>
          <c:symbol val="none"/>
        </c:marker>
        <c:dLbl>
          <c:idx val="0"/>
          <c:spPr/>
          <c:txPr>
            <a:bodyPr/>
            <a:lstStyle/>
            <a:p>
              <a:pPr>
                <a:defRPr/>
              </a:pPr>
              <a:endParaRPr lang="en-US"/>
            </a:p>
          </c:txPr>
          <c:showLegendKey val="0"/>
          <c:showVal val="1"/>
          <c:showCatName val="0"/>
          <c:showSerName val="0"/>
          <c:showPercent val="0"/>
          <c:showBubbleSize val="0"/>
        </c:dLbl>
      </c:pivotFmt>
      <c:pivotFmt>
        <c:idx val="8"/>
        <c:marker>
          <c:symbol val="none"/>
        </c:marker>
        <c:dLbl>
          <c:idx val="0"/>
          <c:spPr/>
          <c:txPr>
            <a:bodyPr/>
            <a:lstStyle/>
            <a:p>
              <a:pPr>
                <a:defRPr/>
              </a:pPr>
              <a:endParaRPr lang="en-US"/>
            </a:p>
          </c:txPr>
          <c:showLegendKey val="0"/>
          <c:showVal val="1"/>
          <c:showCatName val="0"/>
          <c:showSerName val="0"/>
          <c:showPercent val="0"/>
          <c:showBubbleSize val="0"/>
        </c:dLbl>
      </c:pivotFmt>
      <c:pivotFmt>
        <c:idx val="9"/>
        <c:marker>
          <c:symbol val="none"/>
        </c:marker>
        <c:dLbl>
          <c:idx val="0"/>
          <c:spPr/>
          <c:txPr>
            <a:bodyPr/>
            <a:lstStyle/>
            <a:p>
              <a:pPr>
                <a:defRPr/>
              </a:pPr>
              <a:endParaRPr lang="en-US"/>
            </a:p>
          </c:txPr>
          <c:showLegendKey val="0"/>
          <c:showVal val="1"/>
          <c:showCatName val="0"/>
          <c:showSerName val="0"/>
          <c:showPercent val="0"/>
          <c:showBubbleSize val="0"/>
        </c:dLbl>
      </c:pivotFmt>
      <c:pivotFmt>
        <c:idx val="10"/>
        <c:marker>
          <c:symbol val="none"/>
        </c:marker>
        <c:dLbl>
          <c:idx val="0"/>
          <c:spPr/>
          <c:txPr>
            <a:bodyPr/>
            <a:lstStyle/>
            <a:p>
              <a:pPr>
                <a:defRPr/>
              </a:pPr>
              <a:endParaRPr lang="en-US"/>
            </a:p>
          </c:txPr>
          <c:showLegendKey val="0"/>
          <c:showVal val="1"/>
          <c:showCatName val="0"/>
          <c:showSerName val="0"/>
          <c:showPercent val="0"/>
          <c:showBubbleSize val="0"/>
        </c:dLbl>
      </c:pivotFmt>
      <c:pivotFmt>
        <c:idx val="11"/>
        <c:marker>
          <c:symbol val="none"/>
        </c:marker>
        <c:dLbl>
          <c:idx val="0"/>
          <c:spPr/>
          <c:txPr>
            <a:bodyPr/>
            <a:lstStyle/>
            <a:p>
              <a:pPr>
                <a:defRPr/>
              </a:pPr>
              <a:endParaRPr lang="en-US"/>
            </a:p>
          </c:txPr>
          <c:showLegendKey val="0"/>
          <c:showVal val="1"/>
          <c:showCatName val="0"/>
          <c:showSerName val="0"/>
          <c:showPercent val="0"/>
          <c:showBubbleSize val="0"/>
        </c:dLbl>
      </c:pivotFmt>
      <c:pivotFmt>
        <c:idx val="12"/>
        <c:marker>
          <c:symbol val="none"/>
        </c:marker>
        <c:dLbl>
          <c:idx val="0"/>
          <c:spPr/>
          <c:txPr>
            <a:bodyPr/>
            <a:lstStyle/>
            <a:p>
              <a:pPr>
                <a:defRPr/>
              </a:pPr>
              <a:endParaRPr lang="en-US"/>
            </a:p>
          </c:txPr>
          <c:showLegendKey val="0"/>
          <c:showVal val="1"/>
          <c:showCatName val="0"/>
          <c:showSerName val="0"/>
          <c:showPercent val="0"/>
          <c:showBubbleSize val="0"/>
        </c:dLbl>
      </c:pivotFmt>
      <c:pivotFmt>
        <c:idx val="13"/>
        <c:marker>
          <c:symbol val="none"/>
        </c:marker>
        <c:dLbl>
          <c:idx val="0"/>
          <c:spPr/>
          <c:txPr>
            <a:bodyPr/>
            <a:lstStyle/>
            <a:p>
              <a:pPr>
                <a:defRPr/>
              </a:pPr>
              <a:endParaRPr lang="en-US"/>
            </a:p>
          </c:txPr>
          <c:showLegendKey val="0"/>
          <c:showVal val="1"/>
          <c:showCatName val="0"/>
          <c:showSerName val="0"/>
          <c:showPercent val="0"/>
          <c:showBubbleSize val="0"/>
        </c:dLbl>
      </c:pivotFmt>
      <c:pivotFmt>
        <c:idx val="14"/>
        <c:marker>
          <c:symbol val="none"/>
        </c:marker>
        <c:dLbl>
          <c:idx val="0"/>
          <c:layout/>
          <c:spPr/>
          <c:txPr>
            <a:bodyPr/>
            <a:lstStyle/>
            <a:p>
              <a:pPr>
                <a:defRPr/>
              </a:pPr>
              <a:endParaRPr lang="en-US"/>
            </a:p>
          </c:txPr>
          <c:showLegendKey val="0"/>
          <c:showVal val="1"/>
          <c:showCatName val="0"/>
          <c:showSerName val="0"/>
          <c:showPercent val="0"/>
          <c:showBubbleSize val="0"/>
        </c:dLbl>
      </c:pivotFmt>
      <c:pivotFmt>
        <c:idx val="15"/>
        <c:marker>
          <c:symbol val="none"/>
        </c:marker>
        <c:dLbl>
          <c:idx val="0"/>
          <c:layout/>
          <c:spPr/>
          <c:txPr>
            <a:bodyPr/>
            <a:lstStyle/>
            <a:p>
              <a:pPr>
                <a:defRPr/>
              </a:pPr>
              <a:endParaRPr lang="en-US"/>
            </a:p>
          </c:txPr>
          <c:showLegendKey val="0"/>
          <c:showVal val="1"/>
          <c:showCatName val="0"/>
          <c:showSerName val="0"/>
          <c:showPercent val="0"/>
          <c:showBubbleSize val="0"/>
        </c:dLbl>
      </c:pivotFmt>
    </c:pivotFmts>
    <c:plotArea>
      <c:layout/>
      <c:barChart>
        <c:barDir val="bar"/>
        <c:grouping val="stacked"/>
        <c:varyColors val="0"/>
        <c:ser>
          <c:idx val="0"/>
          <c:order val="0"/>
          <c:tx>
            <c:strRef>
              <c:f>'Sugar_Screen time Analysis'!$B$3</c:f>
              <c:strCache>
                <c:ptCount val="1"/>
                <c:pt idx="0">
                  <c:v>Average of Daily_Sugar_Drinks</c:v>
                </c:pt>
              </c:strCache>
            </c:strRef>
          </c:tx>
          <c:invertIfNegative val="0"/>
          <c:dLbls>
            <c:spPr/>
            <c:txPr>
              <a:bodyPr/>
              <a:lstStyle/>
              <a:p>
                <a:pPr>
                  <a:defRPr/>
                </a:pPr>
                <a:endParaRPr lang="en-US"/>
              </a:p>
            </c:txPr>
            <c:showLegendKey val="0"/>
            <c:showVal val="1"/>
            <c:showCatName val="0"/>
            <c:showSerName val="0"/>
            <c:showPercent val="0"/>
            <c:showBubbleSize val="0"/>
            <c:showLeaderLines val="0"/>
          </c:dLbls>
          <c:cat>
            <c:strRef>
              <c:f>'Sugar_Screen time Analysis'!$A$4:$A$6</c:f>
              <c:strCache>
                <c:ptCount val="2"/>
                <c:pt idx="0">
                  <c:v>Healthy Weight</c:v>
                </c:pt>
                <c:pt idx="1">
                  <c:v>Underweight</c:v>
                </c:pt>
              </c:strCache>
            </c:strRef>
          </c:cat>
          <c:val>
            <c:numRef>
              <c:f>'Sugar_Screen time Analysis'!$B$4:$B$6</c:f>
              <c:numCache>
                <c:formatCode>0.00</c:formatCode>
                <c:ptCount val="2"/>
                <c:pt idx="0">
                  <c:v>1.6764705882352942</c:v>
                </c:pt>
                <c:pt idx="1">
                  <c:v>1.2121212121212122</c:v>
                </c:pt>
              </c:numCache>
            </c:numRef>
          </c:val>
        </c:ser>
        <c:ser>
          <c:idx val="1"/>
          <c:order val="1"/>
          <c:tx>
            <c:strRef>
              <c:f>'Sugar_Screen time Analysis'!$C$3</c:f>
              <c:strCache>
                <c:ptCount val="1"/>
                <c:pt idx="0">
                  <c:v>Average of ScreenTime_Hours</c:v>
                </c:pt>
              </c:strCache>
            </c:strRef>
          </c:tx>
          <c:invertIfNegative val="0"/>
          <c:dLbls>
            <c:spPr/>
            <c:txPr>
              <a:bodyPr/>
              <a:lstStyle/>
              <a:p>
                <a:pPr>
                  <a:defRPr/>
                </a:pPr>
                <a:endParaRPr lang="en-US"/>
              </a:p>
            </c:txPr>
            <c:showLegendKey val="0"/>
            <c:showVal val="1"/>
            <c:showCatName val="0"/>
            <c:showSerName val="0"/>
            <c:showPercent val="0"/>
            <c:showBubbleSize val="0"/>
            <c:showLeaderLines val="0"/>
          </c:dLbls>
          <c:cat>
            <c:strRef>
              <c:f>'Sugar_Screen time Analysis'!$A$4:$A$6</c:f>
              <c:strCache>
                <c:ptCount val="2"/>
                <c:pt idx="0">
                  <c:v>Healthy Weight</c:v>
                </c:pt>
                <c:pt idx="1">
                  <c:v>Underweight</c:v>
                </c:pt>
              </c:strCache>
            </c:strRef>
          </c:cat>
          <c:val>
            <c:numRef>
              <c:f>'Sugar_Screen time Analysis'!$C$4:$C$6</c:f>
              <c:numCache>
                <c:formatCode>0.00</c:formatCode>
                <c:ptCount val="2"/>
                <c:pt idx="0">
                  <c:v>1.6911764705882353</c:v>
                </c:pt>
                <c:pt idx="1">
                  <c:v>1.237878787878788</c:v>
                </c:pt>
              </c:numCache>
            </c:numRef>
          </c:val>
        </c:ser>
        <c:dLbls>
          <c:showLegendKey val="0"/>
          <c:showVal val="1"/>
          <c:showCatName val="0"/>
          <c:showSerName val="0"/>
          <c:showPercent val="0"/>
          <c:showBubbleSize val="0"/>
        </c:dLbls>
        <c:gapWidth val="75"/>
        <c:overlap val="100"/>
        <c:axId val="183703808"/>
        <c:axId val="211359232"/>
      </c:barChart>
      <c:catAx>
        <c:axId val="183703808"/>
        <c:scaling>
          <c:orientation val="minMax"/>
        </c:scaling>
        <c:delete val="0"/>
        <c:axPos val="l"/>
        <c:majorTickMark val="none"/>
        <c:minorTickMark val="none"/>
        <c:tickLblPos val="nextTo"/>
        <c:crossAx val="211359232"/>
        <c:crosses val="autoZero"/>
        <c:auto val="1"/>
        <c:lblAlgn val="ctr"/>
        <c:lblOffset val="100"/>
        <c:noMultiLvlLbl val="0"/>
      </c:catAx>
      <c:valAx>
        <c:axId val="211359232"/>
        <c:scaling>
          <c:orientation val="minMax"/>
        </c:scaling>
        <c:delete val="0"/>
        <c:axPos val="b"/>
        <c:numFmt formatCode="0.00" sourceLinked="1"/>
        <c:majorTickMark val="none"/>
        <c:minorTickMark val="none"/>
        <c:tickLblPos val="nextTo"/>
        <c:crossAx val="183703808"/>
        <c:crosses val="autoZero"/>
        <c:crossBetween val="between"/>
      </c:valAx>
    </c:plotArea>
    <c:legend>
      <c:legendPos val="b"/>
      <c:layout/>
      <c:overlay val="0"/>
    </c:legend>
    <c:plotVisOnly val="1"/>
    <c:dispBlanksAs val="gap"/>
    <c:showDLblsOverMax val="0"/>
  </c:chart>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Lst>
</c:chartSpace>
</file>

<file path=xl/charts/chart3.xml><?xml version="1.0" encoding="utf-8"?>
<c:chartSpace xmlns:c="http://schemas.openxmlformats.org/drawingml/2006/chart" xmlns:a="http://schemas.openxmlformats.org/drawingml/2006/main" xmlns:r="http://schemas.openxmlformats.org/officeDocument/2006/relationships">
  <c:date1904 val="0"/>
  <c:lang val="en-IN"/>
  <c:roundedCorners val="0"/>
  <mc:AlternateContent xmlns:mc="http://schemas.openxmlformats.org/markup-compatibility/2006">
    <mc:Choice xmlns:c14="http://schemas.microsoft.com/office/drawing/2007/8/2/chart" Requires="c14">
      <c14:style val="102"/>
    </mc:Choice>
    <mc:Fallback>
      <c:style val="2"/>
    </mc:Fallback>
  </mc:AlternateContent>
  <c:pivotSource>
    <c:name>[Child_Health_Data Cleaned.xlsx]Nutrient Vs BMI!PivotTable1</c:name>
    <c:fmtId val="9"/>
  </c:pivotSource>
  <c:chart>
    <c:autoTitleDeleted val="1"/>
    <c:pivotFmts>
      <c:pivotFmt>
        <c:idx val="0"/>
        <c:marker>
          <c:symbol val="none"/>
        </c:marker>
      </c:pivotFmt>
      <c:pivotFmt>
        <c:idx val="1"/>
        <c:marker>
          <c:symbol val="none"/>
        </c:marker>
      </c:pivotFmt>
      <c:pivotFmt>
        <c:idx val="2"/>
        <c:marker>
          <c:symbol val="none"/>
        </c:marker>
        <c:dLbl>
          <c:idx val="0"/>
          <c:layout/>
          <c:spPr/>
          <c:txPr>
            <a:bodyPr/>
            <a:lstStyle/>
            <a:p>
              <a:pPr>
                <a:defRPr/>
              </a:pPr>
              <a:endParaRPr lang="en-US"/>
            </a:p>
          </c:txPr>
          <c:showLegendKey val="0"/>
          <c:showVal val="0"/>
          <c:showCatName val="0"/>
          <c:showSerName val="0"/>
          <c:showPercent val="1"/>
          <c:showBubbleSize val="0"/>
        </c:dLbl>
      </c:pivotFmt>
    </c:pivotFmts>
    <c:plotArea>
      <c:layout/>
      <c:doughnutChart>
        <c:varyColors val="1"/>
        <c:ser>
          <c:idx val="0"/>
          <c:order val="0"/>
          <c:tx>
            <c:strRef>
              <c:f>'Nutrient Vs BMI'!$G$2</c:f>
              <c:strCache>
                <c:ptCount val="1"/>
                <c:pt idx="0">
                  <c:v>Total</c:v>
                </c:pt>
              </c:strCache>
            </c:strRef>
          </c:tx>
          <c:dLbls>
            <c:spPr/>
            <c:txPr>
              <a:bodyPr/>
              <a:lstStyle/>
              <a:p>
                <a:pPr>
                  <a:defRPr/>
                </a:pPr>
                <a:endParaRPr lang="en-US"/>
              </a:p>
            </c:txPr>
            <c:showLegendKey val="0"/>
            <c:showVal val="0"/>
            <c:showCatName val="0"/>
            <c:showSerName val="0"/>
            <c:showPercent val="1"/>
            <c:showBubbleSize val="0"/>
            <c:showLeaderLines val="1"/>
          </c:dLbls>
          <c:cat>
            <c:strRef>
              <c:f>'Nutrient Vs BMI'!$F$3:$F$8</c:f>
              <c:strCache>
                <c:ptCount val="5"/>
                <c:pt idx="0">
                  <c:v>Central</c:v>
                </c:pt>
                <c:pt idx="1">
                  <c:v>East</c:v>
                </c:pt>
                <c:pt idx="2">
                  <c:v>North</c:v>
                </c:pt>
                <c:pt idx="3">
                  <c:v>South</c:v>
                </c:pt>
                <c:pt idx="4">
                  <c:v>West</c:v>
                </c:pt>
              </c:strCache>
            </c:strRef>
          </c:cat>
          <c:val>
            <c:numRef>
              <c:f>'Nutrient Vs BMI'!$G$3:$G$8</c:f>
              <c:numCache>
                <c:formatCode>0.00</c:formatCode>
                <c:ptCount val="5"/>
                <c:pt idx="0">
                  <c:v>17.280514841003029</c:v>
                </c:pt>
                <c:pt idx="1">
                  <c:v>16.371172019628016</c:v>
                </c:pt>
                <c:pt idx="2">
                  <c:v>16.789441132947946</c:v>
                </c:pt>
                <c:pt idx="3">
                  <c:v>17.188810268120474</c:v>
                </c:pt>
                <c:pt idx="4">
                  <c:v>17.912368815419139</c:v>
                </c:pt>
              </c:numCache>
            </c:numRef>
          </c:val>
        </c:ser>
        <c:dLbls>
          <c:showLegendKey val="0"/>
          <c:showVal val="1"/>
          <c:showCatName val="0"/>
          <c:showSerName val="0"/>
          <c:showPercent val="0"/>
          <c:showBubbleSize val="0"/>
          <c:showLeaderLines val="1"/>
        </c:dLbls>
        <c:firstSliceAng val="0"/>
        <c:holeSize val="50"/>
      </c:doughnutChart>
    </c:plotArea>
    <c:legend>
      <c:legendPos val="r"/>
      <c:layout/>
      <c:overlay val="0"/>
    </c:legend>
    <c:plotVisOnly val="1"/>
    <c:dispBlanksAs val="gap"/>
    <c:showDLblsOverMax val="0"/>
  </c:chart>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Lst>
</c:chartSpace>
</file>

<file path=xl/charts/chart4.xml><?xml version="1.0" encoding="utf-8"?>
<c:chartSpace xmlns:c="http://schemas.openxmlformats.org/drawingml/2006/chart" xmlns:a="http://schemas.openxmlformats.org/drawingml/2006/main" xmlns:r="http://schemas.openxmlformats.org/officeDocument/2006/relationships">
  <c:date1904 val="0"/>
  <c:lang val="en-IN"/>
  <c:roundedCorners val="0"/>
  <mc:AlternateContent xmlns:mc="http://schemas.openxmlformats.org/markup-compatibility/2006">
    <mc:Choice xmlns:c14="http://schemas.microsoft.com/office/drawing/2007/8/2/chart" Requires="c14">
      <c14:style val="102"/>
    </mc:Choice>
    <mc:Fallback>
      <c:style val="2"/>
    </mc:Fallback>
  </mc:AlternateContent>
  <c:pivotSource>
    <c:name>[Child_Health_Data Cleaned.xlsx]Sugar_Screen time Analysis!SSA</c:name>
    <c:fmtId val="6"/>
  </c:pivotSource>
  <c:chart>
    <c:autoTitleDeleted val="1"/>
    <c:pivotFmts>
      <c:pivotFmt>
        <c:idx val="0"/>
        <c:marker>
          <c:symbol val="none"/>
        </c:marker>
        <c:dLbl>
          <c:idx val="0"/>
          <c:spPr/>
          <c:txPr>
            <a:bodyPr/>
            <a:lstStyle/>
            <a:p>
              <a:pPr>
                <a:defRPr/>
              </a:pPr>
              <a:endParaRPr lang="en-US"/>
            </a:p>
          </c:txPr>
          <c:showLegendKey val="0"/>
          <c:showVal val="1"/>
          <c:showCatName val="0"/>
          <c:showSerName val="0"/>
          <c:showPercent val="0"/>
          <c:showBubbleSize val="0"/>
        </c:dLbl>
      </c:pivotFmt>
      <c:pivotFmt>
        <c:idx val="1"/>
        <c:marker>
          <c:symbol val="none"/>
        </c:marker>
        <c:dLbl>
          <c:idx val="0"/>
          <c:spPr/>
          <c:txPr>
            <a:bodyPr/>
            <a:lstStyle/>
            <a:p>
              <a:pPr>
                <a:defRPr/>
              </a:pPr>
              <a:endParaRPr lang="en-US"/>
            </a:p>
          </c:txPr>
          <c:showLegendKey val="0"/>
          <c:showVal val="1"/>
          <c:showCatName val="0"/>
          <c:showSerName val="0"/>
          <c:showPercent val="0"/>
          <c:showBubbleSize val="0"/>
        </c:dLbl>
      </c:pivotFmt>
      <c:pivotFmt>
        <c:idx val="2"/>
        <c:marker>
          <c:symbol val="none"/>
        </c:marker>
        <c:dLbl>
          <c:idx val="0"/>
          <c:spPr/>
          <c:txPr>
            <a:bodyPr/>
            <a:lstStyle/>
            <a:p>
              <a:pPr>
                <a:defRPr/>
              </a:pPr>
              <a:endParaRPr lang="en-US"/>
            </a:p>
          </c:txPr>
          <c:showLegendKey val="0"/>
          <c:showVal val="1"/>
          <c:showCatName val="0"/>
          <c:showSerName val="0"/>
          <c:showPercent val="0"/>
          <c:showBubbleSize val="0"/>
        </c:dLbl>
      </c:pivotFmt>
      <c:pivotFmt>
        <c:idx val="3"/>
        <c:marker>
          <c:symbol val="none"/>
        </c:marker>
        <c:dLbl>
          <c:idx val="0"/>
          <c:spPr/>
          <c:txPr>
            <a:bodyPr/>
            <a:lstStyle/>
            <a:p>
              <a:pPr>
                <a:defRPr/>
              </a:pPr>
              <a:endParaRPr lang="en-US"/>
            </a:p>
          </c:txPr>
          <c:showLegendKey val="0"/>
          <c:showVal val="1"/>
          <c:showCatName val="0"/>
          <c:showSerName val="0"/>
          <c:showPercent val="0"/>
          <c:showBubbleSize val="0"/>
        </c:dLbl>
      </c:pivotFmt>
      <c:pivotFmt>
        <c:idx val="4"/>
        <c:marker>
          <c:symbol val="none"/>
        </c:marker>
        <c:dLbl>
          <c:idx val="0"/>
          <c:spPr/>
          <c:txPr>
            <a:bodyPr/>
            <a:lstStyle/>
            <a:p>
              <a:pPr>
                <a:defRPr/>
              </a:pPr>
              <a:endParaRPr lang="en-US"/>
            </a:p>
          </c:txPr>
          <c:showLegendKey val="0"/>
          <c:showVal val="1"/>
          <c:showCatName val="0"/>
          <c:showSerName val="0"/>
          <c:showPercent val="0"/>
          <c:showBubbleSize val="0"/>
        </c:dLbl>
      </c:pivotFmt>
      <c:pivotFmt>
        <c:idx val="5"/>
        <c:marker>
          <c:symbol val="none"/>
        </c:marker>
        <c:dLbl>
          <c:idx val="0"/>
          <c:spPr/>
          <c:txPr>
            <a:bodyPr/>
            <a:lstStyle/>
            <a:p>
              <a:pPr>
                <a:defRPr/>
              </a:pPr>
              <a:endParaRPr lang="en-US"/>
            </a:p>
          </c:txPr>
          <c:showLegendKey val="0"/>
          <c:showVal val="1"/>
          <c:showCatName val="0"/>
          <c:showSerName val="0"/>
          <c:showPercent val="0"/>
          <c:showBubbleSize val="0"/>
        </c:dLbl>
      </c:pivotFmt>
      <c:pivotFmt>
        <c:idx val="6"/>
        <c:marker>
          <c:symbol val="none"/>
        </c:marker>
        <c:dLbl>
          <c:idx val="0"/>
          <c:spPr/>
          <c:txPr>
            <a:bodyPr/>
            <a:lstStyle/>
            <a:p>
              <a:pPr>
                <a:defRPr/>
              </a:pPr>
              <a:endParaRPr lang="en-US"/>
            </a:p>
          </c:txPr>
          <c:showLegendKey val="0"/>
          <c:showVal val="1"/>
          <c:showCatName val="0"/>
          <c:showSerName val="0"/>
          <c:showPercent val="0"/>
          <c:showBubbleSize val="0"/>
        </c:dLbl>
      </c:pivotFmt>
      <c:pivotFmt>
        <c:idx val="7"/>
        <c:marker>
          <c:symbol val="none"/>
        </c:marker>
        <c:dLbl>
          <c:idx val="0"/>
          <c:spPr/>
          <c:txPr>
            <a:bodyPr/>
            <a:lstStyle/>
            <a:p>
              <a:pPr>
                <a:defRPr/>
              </a:pPr>
              <a:endParaRPr lang="en-US"/>
            </a:p>
          </c:txPr>
          <c:showLegendKey val="0"/>
          <c:showVal val="1"/>
          <c:showCatName val="0"/>
          <c:showSerName val="0"/>
          <c:showPercent val="0"/>
          <c:showBubbleSize val="0"/>
        </c:dLbl>
      </c:pivotFmt>
      <c:pivotFmt>
        <c:idx val="8"/>
        <c:marker>
          <c:symbol val="none"/>
        </c:marker>
        <c:dLbl>
          <c:idx val="0"/>
          <c:spPr/>
          <c:txPr>
            <a:bodyPr/>
            <a:lstStyle/>
            <a:p>
              <a:pPr>
                <a:defRPr/>
              </a:pPr>
              <a:endParaRPr lang="en-US"/>
            </a:p>
          </c:txPr>
          <c:showLegendKey val="0"/>
          <c:showVal val="1"/>
          <c:showCatName val="0"/>
          <c:showSerName val="0"/>
          <c:showPercent val="0"/>
          <c:showBubbleSize val="0"/>
        </c:dLbl>
      </c:pivotFmt>
      <c:pivotFmt>
        <c:idx val="9"/>
        <c:marker>
          <c:symbol val="none"/>
        </c:marker>
        <c:dLbl>
          <c:idx val="0"/>
          <c:spPr/>
          <c:txPr>
            <a:bodyPr/>
            <a:lstStyle/>
            <a:p>
              <a:pPr>
                <a:defRPr/>
              </a:pPr>
              <a:endParaRPr lang="en-US"/>
            </a:p>
          </c:txPr>
          <c:showLegendKey val="0"/>
          <c:showVal val="1"/>
          <c:showCatName val="0"/>
          <c:showSerName val="0"/>
          <c:showPercent val="0"/>
          <c:showBubbleSize val="0"/>
        </c:dLbl>
      </c:pivotFmt>
      <c:pivotFmt>
        <c:idx val="10"/>
        <c:marker>
          <c:symbol val="none"/>
        </c:marker>
        <c:dLbl>
          <c:idx val="0"/>
          <c:layout/>
          <c:spPr/>
          <c:txPr>
            <a:bodyPr/>
            <a:lstStyle/>
            <a:p>
              <a:pPr>
                <a:defRPr/>
              </a:pPr>
              <a:endParaRPr lang="en-US"/>
            </a:p>
          </c:txPr>
          <c:showLegendKey val="0"/>
          <c:showVal val="1"/>
          <c:showCatName val="0"/>
          <c:showSerName val="0"/>
          <c:showPercent val="0"/>
          <c:showBubbleSize val="0"/>
        </c:dLbl>
      </c:pivotFmt>
      <c:pivotFmt>
        <c:idx val="11"/>
        <c:marker>
          <c:symbol val="none"/>
        </c:marker>
        <c:dLbl>
          <c:idx val="0"/>
          <c:layout/>
          <c:spPr/>
          <c:txPr>
            <a:bodyPr/>
            <a:lstStyle/>
            <a:p>
              <a:pPr>
                <a:defRPr/>
              </a:pPr>
              <a:endParaRPr lang="en-US"/>
            </a:p>
          </c:txPr>
          <c:showLegendKey val="0"/>
          <c:showVal val="1"/>
          <c:showCatName val="0"/>
          <c:showSerName val="0"/>
          <c:showPercent val="0"/>
          <c:showBubbleSize val="0"/>
        </c:dLbl>
      </c:pivotFmt>
    </c:pivotFmts>
    <c:plotArea>
      <c:layout/>
      <c:barChart>
        <c:barDir val="bar"/>
        <c:grouping val="stacked"/>
        <c:varyColors val="0"/>
        <c:ser>
          <c:idx val="0"/>
          <c:order val="0"/>
          <c:tx>
            <c:strRef>
              <c:f>'Sugar_Screen time Analysis'!$B$3</c:f>
              <c:strCache>
                <c:ptCount val="1"/>
                <c:pt idx="0">
                  <c:v>Average of Daily_Sugar_Drinks</c:v>
                </c:pt>
              </c:strCache>
            </c:strRef>
          </c:tx>
          <c:invertIfNegative val="0"/>
          <c:dLbls>
            <c:spPr/>
            <c:txPr>
              <a:bodyPr/>
              <a:lstStyle/>
              <a:p>
                <a:pPr>
                  <a:defRPr/>
                </a:pPr>
                <a:endParaRPr lang="en-US"/>
              </a:p>
            </c:txPr>
            <c:showLegendKey val="0"/>
            <c:showVal val="1"/>
            <c:showCatName val="0"/>
            <c:showSerName val="0"/>
            <c:showPercent val="0"/>
            <c:showBubbleSize val="0"/>
            <c:showLeaderLines val="0"/>
          </c:dLbls>
          <c:cat>
            <c:strRef>
              <c:f>'Sugar_Screen time Analysis'!$A$4:$A$6</c:f>
              <c:strCache>
                <c:ptCount val="2"/>
                <c:pt idx="0">
                  <c:v>Healthy Weight</c:v>
                </c:pt>
                <c:pt idx="1">
                  <c:v>Underweight</c:v>
                </c:pt>
              </c:strCache>
            </c:strRef>
          </c:cat>
          <c:val>
            <c:numRef>
              <c:f>'Sugar_Screen time Analysis'!$B$4:$B$6</c:f>
              <c:numCache>
                <c:formatCode>0.00</c:formatCode>
                <c:ptCount val="2"/>
                <c:pt idx="0">
                  <c:v>1.6764705882352942</c:v>
                </c:pt>
                <c:pt idx="1">
                  <c:v>1.2121212121212122</c:v>
                </c:pt>
              </c:numCache>
            </c:numRef>
          </c:val>
        </c:ser>
        <c:ser>
          <c:idx val="1"/>
          <c:order val="1"/>
          <c:tx>
            <c:strRef>
              <c:f>'Sugar_Screen time Analysis'!$C$3</c:f>
              <c:strCache>
                <c:ptCount val="1"/>
                <c:pt idx="0">
                  <c:v>Average of ScreenTime_Hours</c:v>
                </c:pt>
              </c:strCache>
            </c:strRef>
          </c:tx>
          <c:invertIfNegative val="0"/>
          <c:dLbls>
            <c:spPr/>
            <c:txPr>
              <a:bodyPr/>
              <a:lstStyle/>
              <a:p>
                <a:pPr>
                  <a:defRPr/>
                </a:pPr>
                <a:endParaRPr lang="en-US"/>
              </a:p>
            </c:txPr>
            <c:showLegendKey val="0"/>
            <c:showVal val="1"/>
            <c:showCatName val="0"/>
            <c:showSerName val="0"/>
            <c:showPercent val="0"/>
            <c:showBubbleSize val="0"/>
            <c:showLeaderLines val="0"/>
          </c:dLbls>
          <c:cat>
            <c:strRef>
              <c:f>'Sugar_Screen time Analysis'!$A$4:$A$6</c:f>
              <c:strCache>
                <c:ptCount val="2"/>
                <c:pt idx="0">
                  <c:v>Healthy Weight</c:v>
                </c:pt>
                <c:pt idx="1">
                  <c:v>Underweight</c:v>
                </c:pt>
              </c:strCache>
            </c:strRef>
          </c:cat>
          <c:val>
            <c:numRef>
              <c:f>'Sugar_Screen time Analysis'!$C$4:$C$6</c:f>
              <c:numCache>
                <c:formatCode>0.00</c:formatCode>
                <c:ptCount val="2"/>
                <c:pt idx="0">
                  <c:v>1.6911764705882353</c:v>
                </c:pt>
                <c:pt idx="1">
                  <c:v>1.237878787878788</c:v>
                </c:pt>
              </c:numCache>
            </c:numRef>
          </c:val>
        </c:ser>
        <c:dLbls>
          <c:showLegendKey val="0"/>
          <c:showVal val="1"/>
          <c:showCatName val="0"/>
          <c:showSerName val="0"/>
          <c:showPercent val="0"/>
          <c:showBubbleSize val="0"/>
        </c:dLbls>
        <c:gapWidth val="75"/>
        <c:overlap val="100"/>
        <c:axId val="210550144"/>
        <c:axId val="210564224"/>
      </c:barChart>
      <c:catAx>
        <c:axId val="210550144"/>
        <c:scaling>
          <c:orientation val="minMax"/>
        </c:scaling>
        <c:delete val="0"/>
        <c:axPos val="l"/>
        <c:majorTickMark val="none"/>
        <c:minorTickMark val="none"/>
        <c:tickLblPos val="nextTo"/>
        <c:crossAx val="210564224"/>
        <c:crosses val="autoZero"/>
        <c:auto val="1"/>
        <c:lblAlgn val="ctr"/>
        <c:lblOffset val="100"/>
        <c:noMultiLvlLbl val="0"/>
      </c:catAx>
      <c:valAx>
        <c:axId val="210564224"/>
        <c:scaling>
          <c:orientation val="minMax"/>
        </c:scaling>
        <c:delete val="0"/>
        <c:axPos val="b"/>
        <c:numFmt formatCode="0.00" sourceLinked="1"/>
        <c:majorTickMark val="none"/>
        <c:minorTickMark val="none"/>
        <c:tickLblPos val="nextTo"/>
        <c:crossAx val="210550144"/>
        <c:crosses val="autoZero"/>
        <c:crossBetween val="between"/>
      </c:valAx>
    </c:plotArea>
    <c:legend>
      <c:legendPos val="b"/>
      <c:layout/>
      <c:overlay val="0"/>
    </c:legend>
    <c:plotVisOnly val="1"/>
    <c:dispBlanksAs val="gap"/>
    <c:showDLblsOverMax val="0"/>
  </c:chart>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Lst>
</c:chartSpace>
</file>

<file path=xl/charts/chart5.xml><?xml version="1.0" encoding="utf-8"?>
<c:chartSpace xmlns:c="http://schemas.openxmlformats.org/drawingml/2006/chart" xmlns:a="http://schemas.openxmlformats.org/drawingml/2006/main" xmlns:r="http://schemas.openxmlformats.org/officeDocument/2006/relationships">
  <c:date1904 val="0"/>
  <c:lang val="en-IN"/>
  <c:roundedCorners val="0"/>
  <mc:AlternateContent xmlns:mc="http://schemas.openxmlformats.org/markup-compatibility/2006">
    <mc:Choice xmlns:c14="http://schemas.microsoft.com/office/drawing/2007/8/2/chart" Requires="c14">
      <c14:style val="102"/>
    </mc:Choice>
    <mc:Fallback>
      <c:style val="2"/>
    </mc:Fallback>
  </mc:AlternateContent>
  <c:pivotSource>
    <c:name>[Child_Health_Data Cleaned.xlsx]Health Status by Age!HSA</c:name>
    <c:fmtId val="0"/>
  </c:pivotSource>
  <c:chart>
    <c:title>
      <c:tx>
        <c:rich>
          <a:bodyPr/>
          <a:lstStyle/>
          <a:p>
            <a:pPr>
              <a:defRPr/>
            </a:pPr>
            <a:r>
              <a:rPr lang="en-IN"/>
              <a:t>Health</a:t>
            </a:r>
            <a:r>
              <a:rPr lang="en-IN" baseline="0"/>
              <a:t> Status by Age Group</a:t>
            </a:r>
            <a:endParaRPr lang="en-IN"/>
          </a:p>
        </c:rich>
      </c:tx>
      <c:layout/>
      <c:overlay val="0"/>
    </c:title>
    <c:autoTitleDeleted val="0"/>
    <c:pivotFmts>
      <c:pivotFmt>
        <c:idx val="0"/>
      </c:pivotFmt>
      <c:pivotFmt>
        <c:idx val="1"/>
      </c:pivotFmt>
      <c:pivotFmt>
        <c:idx val="2"/>
      </c:pivotFmt>
      <c:pivotFmt>
        <c:idx val="3"/>
        <c:marker>
          <c:symbol val="none"/>
        </c:marker>
        <c:dLbl>
          <c:idx val="0"/>
          <c:layout/>
          <c:spPr/>
          <c:txPr>
            <a:bodyPr/>
            <a:lstStyle/>
            <a:p>
              <a:pPr>
                <a:defRPr/>
              </a:pPr>
              <a:endParaRPr lang="en-US"/>
            </a:p>
          </c:txPr>
          <c:showLegendKey val="0"/>
          <c:showVal val="1"/>
          <c:showCatName val="0"/>
          <c:showSerName val="0"/>
          <c:showPercent val="0"/>
          <c:showBubbleSize val="0"/>
        </c:dLbl>
      </c:pivotFmt>
      <c:pivotFmt>
        <c:idx val="4"/>
        <c:marker>
          <c:symbol val="none"/>
        </c:marker>
        <c:dLbl>
          <c:idx val="0"/>
          <c:layout/>
          <c:spPr/>
          <c:txPr>
            <a:bodyPr/>
            <a:lstStyle/>
            <a:p>
              <a:pPr>
                <a:defRPr/>
              </a:pPr>
              <a:endParaRPr lang="en-US"/>
            </a:p>
          </c:txPr>
          <c:showLegendKey val="0"/>
          <c:showVal val="1"/>
          <c:showCatName val="0"/>
          <c:showSerName val="0"/>
          <c:showPercent val="0"/>
          <c:showBubbleSize val="0"/>
        </c:dLbl>
      </c:pivotFmt>
      <c:pivotFmt>
        <c:idx val="5"/>
      </c:pivotFmt>
      <c:pivotFmt>
        <c:idx val="6"/>
      </c:pivotFmt>
      <c:pivotFmt>
        <c:idx val="7"/>
        <c:marker>
          <c:symbol val="none"/>
        </c:marker>
      </c:pivotFmt>
    </c:pivotFmts>
    <c:plotArea>
      <c:layout/>
      <c:barChart>
        <c:barDir val="col"/>
        <c:grouping val="clustered"/>
        <c:varyColors val="0"/>
        <c:ser>
          <c:idx val="0"/>
          <c:order val="0"/>
          <c:tx>
            <c:strRef>
              <c:f>'Health Status by Age'!$B$2:$B$3</c:f>
              <c:strCache>
                <c:ptCount val="1"/>
                <c:pt idx="0">
                  <c:v>Healthy Weight</c:v>
                </c:pt>
              </c:strCache>
            </c:strRef>
          </c:tx>
          <c:invertIfNegative val="0"/>
          <c:dLbls>
            <c:spPr/>
            <c:txPr>
              <a:bodyPr/>
              <a:lstStyle/>
              <a:p>
                <a:pPr>
                  <a:defRPr/>
                </a:pPr>
                <a:endParaRPr lang="en-US"/>
              </a:p>
            </c:txPr>
            <c:showLegendKey val="0"/>
            <c:showVal val="1"/>
            <c:showCatName val="0"/>
            <c:showSerName val="0"/>
            <c:showPercent val="0"/>
            <c:showBubbleSize val="0"/>
            <c:showLeaderLines val="0"/>
          </c:dLbls>
          <c:cat>
            <c:strRef>
              <c:f>'Health Status by Age'!$A$4:$A$7</c:f>
              <c:strCache>
                <c:ptCount val="3"/>
                <c:pt idx="0">
                  <c:v>24-36 Months</c:v>
                </c:pt>
                <c:pt idx="1">
                  <c:v>37-48 Months</c:v>
                </c:pt>
                <c:pt idx="2">
                  <c:v>49-60 Months</c:v>
                </c:pt>
              </c:strCache>
            </c:strRef>
          </c:cat>
          <c:val>
            <c:numRef>
              <c:f>'Health Status by Age'!$B$4:$B$7</c:f>
              <c:numCache>
                <c:formatCode>General</c:formatCode>
                <c:ptCount val="3"/>
                <c:pt idx="0">
                  <c:v>10</c:v>
                </c:pt>
                <c:pt idx="1">
                  <c:v>12</c:v>
                </c:pt>
                <c:pt idx="2">
                  <c:v>12</c:v>
                </c:pt>
              </c:numCache>
            </c:numRef>
          </c:val>
        </c:ser>
        <c:ser>
          <c:idx val="1"/>
          <c:order val="1"/>
          <c:tx>
            <c:strRef>
              <c:f>'Health Status by Age'!$C$2:$C$3</c:f>
              <c:strCache>
                <c:ptCount val="1"/>
                <c:pt idx="0">
                  <c:v>Underweight</c:v>
                </c:pt>
              </c:strCache>
            </c:strRef>
          </c:tx>
          <c:invertIfNegative val="0"/>
          <c:dLbls>
            <c:spPr/>
            <c:txPr>
              <a:bodyPr/>
              <a:lstStyle/>
              <a:p>
                <a:pPr>
                  <a:defRPr/>
                </a:pPr>
                <a:endParaRPr lang="en-US"/>
              </a:p>
            </c:txPr>
            <c:showLegendKey val="0"/>
            <c:showVal val="1"/>
            <c:showCatName val="0"/>
            <c:showSerName val="0"/>
            <c:showPercent val="0"/>
            <c:showBubbleSize val="0"/>
            <c:showLeaderLines val="0"/>
          </c:dLbls>
          <c:cat>
            <c:strRef>
              <c:f>'Health Status by Age'!$A$4:$A$7</c:f>
              <c:strCache>
                <c:ptCount val="3"/>
                <c:pt idx="0">
                  <c:v>24-36 Months</c:v>
                </c:pt>
                <c:pt idx="1">
                  <c:v>37-48 Months</c:v>
                </c:pt>
                <c:pt idx="2">
                  <c:v>49-60 Months</c:v>
                </c:pt>
              </c:strCache>
            </c:strRef>
          </c:cat>
          <c:val>
            <c:numRef>
              <c:f>'Health Status by Age'!$C$4:$C$7</c:f>
              <c:numCache>
                <c:formatCode>General</c:formatCode>
                <c:ptCount val="3"/>
                <c:pt idx="0">
                  <c:v>29</c:v>
                </c:pt>
                <c:pt idx="1">
                  <c:v>18</c:v>
                </c:pt>
                <c:pt idx="2">
                  <c:v>19</c:v>
                </c:pt>
              </c:numCache>
            </c:numRef>
          </c:val>
        </c:ser>
        <c:dLbls>
          <c:showLegendKey val="0"/>
          <c:showVal val="1"/>
          <c:showCatName val="0"/>
          <c:showSerName val="0"/>
          <c:showPercent val="0"/>
          <c:showBubbleSize val="0"/>
        </c:dLbls>
        <c:gapWidth val="75"/>
        <c:axId val="210743296"/>
        <c:axId val="210744832"/>
      </c:barChart>
      <c:catAx>
        <c:axId val="210743296"/>
        <c:scaling>
          <c:orientation val="minMax"/>
        </c:scaling>
        <c:delete val="0"/>
        <c:axPos val="b"/>
        <c:majorTickMark val="none"/>
        <c:minorTickMark val="none"/>
        <c:tickLblPos val="nextTo"/>
        <c:crossAx val="210744832"/>
        <c:crosses val="autoZero"/>
        <c:auto val="1"/>
        <c:lblAlgn val="ctr"/>
        <c:lblOffset val="100"/>
        <c:noMultiLvlLbl val="0"/>
      </c:catAx>
      <c:valAx>
        <c:axId val="210744832"/>
        <c:scaling>
          <c:orientation val="minMax"/>
        </c:scaling>
        <c:delete val="0"/>
        <c:axPos val="l"/>
        <c:numFmt formatCode="General" sourceLinked="1"/>
        <c:majorTickMark val="none"/>
        <c:minorTickMark val="none"/>
        <c:tickLblPos val="nextTo"/>
        <c:crossAx val="210743296"/>
        <c:crosses val="autoZero"/>
        <c:crossBetween val="between"/>
      </c:valAx>
    </c:plotArea>
    <c:legend>
      <c:legendPos val="b"/>
      <c:layout/>
      <c:overlay val="0"/>
    </c:legend>
    <c:plotVisOnly val="1"/>
    <c:dispBlanksAs val="gap"/>
    <c:showDLblsOverMax val="0"/>
  </c:chart>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Lst>
</c:chartSpac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4.xml"/></Relationships>
</file>

<file path=xl/drawings/_rels/drawing4.xml.rels><?xml version="1.0" encoding="UTF-8" standalone="yes"?>
<Relationships xmlns="http://schemas.openxmlformats.org/package/2006/relationships"><Relationship Id="rId1" Type="http://schemas.openxmlformats.org/officeDocument/2006/relationships/chart" Target="../charts/chart5.xml"/></Relationships>
</file>

<file path=xl/drawings/drawing1.xml><?xml version="1.0" encoding="utf-8"?>
<xdr:wsDr xmlns:xdr="http://schemas.openxmlformats.org/drawingml/2006/spreadsheetDrawing" xmlns:a="http://schemas.openxmlformats.org/drawingml/2006/main">
  <xdr:twoCellAnchor>
    <xdr:from>
      <xdr:col>1</xdr:col>
      <xdr:colOff>53340</xdr:colOff>
      <xdr:row>7</xdr:row>
      <xdr:rowOff>7620</xdr:rowOff>
    </xdr:from>
    <xdr:to>
      <xdr:col>6</xdr:col>
      <xdr:colOff>45720</xdr:colOff>
      <xdr:row>28</xdr:row>
      <xdr:rowOff>163830</xdr:rowOff>
    </xdr:to>
    <xdr:graphicFrame macro="">
      <xdr:nvGraphicFramePr>
        <xdr:cNvPr id="2" name="Chart 1"/>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91440</xdr:colOff>
      <xdr:row>7</xdr:row>
      <xdr:rowOff>7620</xdr:rowOff>
    </xdr:from>
    <xdr:to>
      <xdr:col>11</xdr:col>
      <xdr:colOff>22860</xdr:colOff>
      <xdr:row>28</xdr:row>
      <xdr:rowOff>167640</xdr:rowOff>
    </xdr:to>
    <xdr:graphicFrame macro="">
      <xdr:nvGraphicFramePr>
        <xdr:cNvPr id="3" name="Chart 2"/>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11</xdr:col>
      <xdr:colOff>106680</xdr:colOff>
      <xdr:row>9</xdr:row>
      <xdr:rowOff>60961</xdr:rowOff>
    </xdr:from>
    <xdr:to>
      <xdr:col>14</xdr:col>
      <xdr:colOff>586740</xdr:colOff>
      <xdr:row>20</xdr:row>
      <xdr:rowOff>15240</xdr:rowOff>
    </xdr:to>
    <mc:AlternateContent xmlns:mc="http://schemas.openxmlformats.org/markup-compatibility/2006">
      <mc:Choice xmlns:a14="http://schemas.microsoft.com/office/drawing/2010/main" Requires="a14">
        <xdr:graphicFrame macro="">
          <xdr:nvGraphicFramePr>
            <xdr:cNvPr id="4" name="Age_Months"/>
            <xdr:cNvGraphicFramePr/>
          </xdr:nvGraphicFramePr>
          <xdr:xfrm>
            <a:off x="0" y="0"/>
            <a:ext cx="0" cy="0"/>
          </xdr:xfrm>
          <a:graphic>
            <a:graphicData uri="http://schemas.microsoft.com/office/drawing/2010/slicer">
              <sle:slicer xmlns:sle="http://schemas.microsoft.com/office/drawing/2010/slicer" name="Age_Months"/>
            </a:graphicData>
          </a:graphic>
        </xdr:graphicFrame>
      </mc:Choice>
      <mc:Fallback>
        <xdr:sp macro="" textlink="">
          <xdr:nvSpPr>
            <xdr:cNvPr id="0" name=""/>
            <xdr:cNvSpPr>
              <a:spLocks noTextEdit="1"/>
            </xdr:cNvSpPr>
          </xdr:nvSpPr>
          <xdr:spPr>
            <a:xfrm>
              <a:off x="6812280" y="1827416"/>
              <a:ext cx="2308860" cy="1935479"/>
            </a:xfrm>
            <a:prstGeom prst="rect">
              <a:avLst/>
            </a:prstGeom>
            <a:solidFill>
              <a:prstClr val="white"/>
            </a:solidFill>
            <a:ln w="1">
              <a:solidFill>
                <a:prstClr val="green"/>
              </a:solidFill>
            </a:ln>
          </xdr:spPr>
          <xdr:txBody>
            <a:bodyPr vertOverflow="clip" horzOverflow="clip"/>
            <a:lstStyle/>
            <a:p>
              <a:r>
                <a:rPr lang="en-IN" sz="1100"/>
                <a:t>This shape represents a slicer. Slicers can be used in at least Excel 2010.
If the shape was modified in an earlier version of Excel, or if the workbook was saved in Excel 2003 or earlier, the slicer cannot be used.</a:t>
              </a:r>
            </a:p>
          </xdr:txBody>
        </xdr:sp>
      </mc:Fallback>
    </mc:AlternateContent>
    <xdr:clientData/>
  </xdr:twoCellAnchor>
  <xdr:twoCellAnchor editAs="oneCell">
    <xdr:from>
      <xdr:col>11</xdr:col>
      <xdr:colOff>121920</xdr:colOff>
      <xdr:row>3</xdr:row>
      <xdr:rowOff>175260</xdr:rowOff>
    </xdr:from>
    <xdr:to>
      <xdr:col>12</xdr:col>
      <xdr:colOff>327660</xdr:colOff>
      <xdr:row>8</xdr:row>
      <xdr:rowOff>175259</xdr:rowOff>
    </xdr:to>
    <mc:AlternateContent xmlns:mc="http://schemas.openxmlformats.org/markup-compatibility/2006">
      <mc:Choice xmlns:a14="http://schemas.microsoft.com/office/drawing/2010/main" Requires="a14">
        <xdr:graphicFrame macro="">
          <xdr:nvGraphicFramePr>
            <xdr:cNvPr id="5" name="Gender"/>
            <xdr:cNvGraphicFramePr/>
          </xdr:nvGraphicFramePr>
          <xdr:xfrm>
            <a:off x="0" y="0"/>
            <a:ext cx="0" cy="0"/>
          </xdr:xfrm>
          <a:graphic>
            <a:graphicData uri="http://schemas.microsoft.com/office/drawing/2010/slicer">
              <sle:slicer xmlns:sle="http://schemas.microsoft.com/office/drawing/2010/slicer" name="Gender"/>
            </a:graphicData>
          </a:graphic>
        </xdr:graphicFrame>
      </mc:Choice>
      <mc:Fallback>
        <xdr:sp macro="" textlink="">
          <xdr:nvSpPr>
            <xdr:cNvPr id="0" name=""/>
            <xdr:cNvSpPr>
              <a:spLocks noTextEdit="1"/>
            </xdr:cNvSpPr>
          </xdr:nvSpPr>
          <xdr:spPr>
            <a:xfrm>
              <a:off x="6827520" y="729442"/>
              <a:ext cx="815340" cy="1032162"/>
            </a:xfrm>
            <a:prstGeom prst="rect">
              <a:avLst/>
            </a:prstGeom>
            <a:solidFill>
              <a:prstClr val="white"/>
            </a:solidFill>
            <a:ln w="1">
              <a:solidFill>
                <a:prstClr val="green"/>
              </a:solidFill>
            </a:ln>
          </xdr:spPr>
          <xdr:txBody>
            <a:bodyPr vertOverflow="clip" horzOverflow="clip"/>
            <a:lstStyle/>
            <a:p>
              <a:r>
                <a:rPr lang="en-IN" sz="1100"/>
                <a:t>This shape represents a slicer. Slicers can be used in at least Excel 2010.
If the shape was modified in an earlier version of Excel, or if the workbook was saved in Excel 2003 or earlier, the slicer cannot be used.</a:t>
              </a:r>
            </a:p>
          </xdr:txBody>
        </xdr:sp>
      </mc:Fallback>
    </mc:AlternateContent>
    <xdr:clientData/>
  </xdr:twoCellAnchor>
  <xdr:twoCellAnchor editAs="oneCell">
    <xdr:from>
      <xdr:col>12</xdr:col>
      <xdr:colOff>358140</xdr:colOff>
      <xdr:row>3</xdr:row>
      <xdr:rowOff>175261</xdr:rowOff>
    </xdr:from>
    <xdr:to>
      <xdr:col>14</xdr:col>
      <xdr:colOff>579120</xdr:colOff>
      <xdr:row>8</xdr:row>
      <xdr:rowOff>175260</xdr:rowOff>
    </xdr:to>
    <mc:AlternateContent xmlns:mc="http://schemas.openxmlformats.org/markup-compatibility/2006">
      <mc:Choice xmlns:a14="http://schemas.microsoft.com/office/drawing/2010/main" Requires="a14">
        <xdr:graphicFrame macro="">
          <xdr:nvGraphicFramePr>
            <xdr:cNvPr id="6" name="Region"/>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7673340" y="729443"/>
              <a:ext cx="1440180" cy="1032162"/>
            </a:xfrm>
            <a:prstGeom prst="rect">
              <a:avLst/>
            </a:prstGeom>
            <a:solidFill>
              <a:prstClr val="white"/>
            </a:solidFill>
            <a:ln w="1">
              <a:solidFill>
                <a:prstClr val="green"/>
              </a:solidFill>
            </a:ln>
          </xdr:spPr>
          <xdr:txBody>
            <a:bodyPr vertOverflow="clip" horzOverflow="clip"/>
            <a:lstStyle/>
            <a:p>
              <a:r>
                <a:rPr lang="en-IN" sz="1100"/>
                <a:t>This shape represents a slicer. Slicers can be used in at least Excel 2010.
If the shape was modified in an earlier version of Excel, or if the workbook was saved in Excel 2003 or earlier, the slicer cannot be used.</a:t>
              </a:r>
            </a:p>
          </xdr:txBody>
        </xdr:sp>
      </mc:Fallback>
    </mc:AlternateContent>
    <xdr:clientData/>
  </xdr:twoCellAnchor>
  <xdr:twoCellAnchor>
    <xdr:from>
      <xdr:col>11</xdr:col>
      <xdr:colOff>106680</xdr:colOff>
      <xdr:row>20</xdr:row>
      <xdr:rowOff>45720</xdr:rowOff>
    </xdr:from>
    <xdr:to>
      <xdr:col>14</xdr:col>
      <xdr:colOff>586740</xdr:colOff>
      <xdr:row>28</xdr:row>
      <xdr:rowOff>175260</xdr:rowOff>
    </xdr:to>
    <xdr:graphicFrame macro="">
      <xdr:nvGraphicFramePr>
        <xdr:cNvPr id="7" name="Chart 6"/>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0</xdr:col>
      <xdr:colOff>0</xdr:colOff>
      <xdr:row>10</xdr:row>
      <xdr:rowOff>0</xdr:rowOff>
    </xdr:from>
    <xdr:to>
      <xdr:col>2</xdr:col>
      <xdr:colOff>1805940</xdr:colOff>
      <xdr:row>29</xdr:row>
      <xdr:rowOff>160020</xdr:rowOff>
    </xdr:to>
    <xdr:graphicFrame macro="">
      <xdr:nvGraphicFramePr>
        <xdr:cNvPr id="3" name="Chart 2"/>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editAs="oneCell">
    <xdr:from>
      <xdr:col>4</xdr:col>
      <xdr:colOff>228600</xdr:colOff>
      <xdr:row>1</xdr:row>
      <xdr:rowOff>22860</xdr:rowOff>
    </xdr:from>
    <xdr:to>
      <xdr:col>4</xdr:col>
      <xdr:colOff>1615440</xdr:colOff>
      <xdr:row>12</xdr:row>
      <xdr:rowOff>15240</xdr:rowOff>
    </xdr:to>
    <mc:AlternateContent xmlns:mc="http://schemas.openxmlformats.org/markup-compatibility/2006" xmlns:a14="http://schemas.microsoft.com/office/drawing/2010/main">
      <mc:Choice Requires="a14">
        <xdr:graphicFrame macro="">
          <xdr:nvGraphicFramePr>
            <xdr:cNvPr id="4" name="Region 1"/>
            <xdr:cNvGraphicFramePr/>
          </xdr:nvGraphicFramePr>
          <xdr:xfrm>
            <a:off x="0" y="0"/>
            <a:ext cx="0" cy="0"/>
          </xdr:xfrm>
          <a:graphic>
            <a:graphicData uri="http://schemas.microsoft.com/office/drawing/2010/slicer">
              <sle:slicer xmlns:sle="http://schemas.microsoft.com/office/drawing/2010/slicer" name="Region 1"/>
            </a:graphicData>
          </a:graphic>
        </xdr:graphicFrame>
      </mc:Choice>
      <mc:Fallback xmlns="">
        <xdr:sp macro="" textlink="">
          <xdr:nvSpPr>
            <xdr:cNvPr id="0" name=""/>
            <xdr:cNvSpPr>
              <a:spLocks noTextEdit="1"/>
            </xdr:cNvSpPr>
          </xdr:nvSpPr>
          <xdr:spPr>
            <a:xfrm>
              <a:off x="4884420" y="205740"/>
              <a:ext cx="1386840" cy="2004060"/>
            </a:xfrm>
            <a:prstGeom prst="rect">
              <a:avLst/>
            </a:prstGeom>
            <a:solidFill>
              <a:prstClr val="white"/>
            </a:solidFill>
            <a:ln w="1">
              <a:solidFill>
                <a:prstClr val="green"/>
              </a:solidFill>
            </a:ln>
          </xdr:spPr>
          <xdr:txBody>
            <a:bodyPr vertOverflow="clip" horzOverflow="clip"/>
            <a:lstStyle/>
            <a:p>
              <a:r>
                <a:rPr lang="en-IN" sz="1100"/>
                <a:t>This shape represents a slicer. Slicers can be used in at least Excel 2010.
If the shape was modified in an earlier version of Excel, or if the workbook was saved in Excel 2003 or earlier, the slicer cannot be used.</a:t>
              </a:r>
            </a:p>
          </xdr:txBody>
        </xdr:sp>
      </mc:Fallback>
    </mc:AlternateContent>
    <xdr:clientData/>
  </xdr:twoCellAnchor>
</xdr:wsDr>
</file>

<file path=xl/drawings/drawing4.xml><?xml version="1.0" encoding="utf-8"?>
<xdr:wsDr xmlns:xdr="http://schemas.openxmlformats.org/drawingml/2006/spreadsheetDrawing" xmlns:a="http://schemas.openxmlformats.org/drawingml/2006/main">
  <xdr:twoCellAnchor>
    <xdr:from>
      <xdr:col>0</xdr:col>
      <xdr:colOff>15240</xdr:colOff>
      <xdr:row>8</xdr:row>
      <xdr:rowOff>11430</xdr:rowOff>
    </xdr:from>
    <xdr:to>
      <xdr:col>3</xdr:col>
      <xdr:colOff>38100</xdr:colOff>
      <xdr:row>29</xdr:row>
      <xdr:rowOff>167640</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r:id="rId1" refreshedBy="ASUS" refreshedDate="46099.832151388888" createdVersion="4" refreshedVersion="4" minRefreshableVersion="3" recordCount="100">
  <cacheSource type="worksheet">
    <worksheetSource name="CH"/>
  </cacheSource>
  <cacheFields count="13">
    <cacheField name="ChildID" numFmtId="0">
      <sharedItems count="100">
        <s v="C001"/>
        <s v="C002"/>
        <s v="C003"/>
        <s v="C004"/>
        <s v="C005"/>
        <s v="C006"/>
        <s v="C007"/>
        <s v="C008"/>
        <s v="C009"/>
        <s v="C010"/>
        <s v="C011"/>
        <s v="C012"/>
        <s v="C013"/>
        <s v="C014"/>
        <s v="C015"/>
        <s v="C016"/>
        <s v="C017"/>
        <s v="C018"/>
        <s v="C019"/>
        <s v="C020"/>
        <s v="C021"/>
        <s v="C022"/>
        <s v="C023"/>
        <s v="C024"/>
        <s v="C025"/>
        <s v="C026"/>
        <s v="C027"/>
        <s v="C028"/>
        <s v="C029"/>
        <s v="C030"/>
        <s v="C031"/>
        <s v="C032"/>
        <s v="C033"/>
        <s v="C034"/>
        <s v="C035"/>
        <s v="C036"/>
        <s v="C037"/>
        <s v="C038"/>
        <s v="C039"/>
        <s v="C040"/>
        <s v="C041"/>
        <s v="C042"/>
        <s v="C043"/>
        <s v="C044"/>
        <s v="C045"/>
        <s v="C046"/>
        <s v="C047"/>
        <s v="C048"/>
        <s v="C049"/>
        <s v="C050"/>
        <s v="C051"/>
        <s v="C052"/>
        <s v="C053"/>
        <s v="C054"/>
        <s v="C055"/>
        <s v="C056"/>
        <s v="C057"/>
        <s v="C058"/>
        <s v="C059"/>
        <s v="C060"/>
        <s v="C061"/>
        <s v="C062"/>
        <s v="C063"/>
        <s v="C064"/>
        <s v="C065"/>
        <s v="C066"/>
        <s v="C067"/>
        <s v="C068"/>
        <s v="C069"/>
        <s v="C070"/>
        <s v="C071"/>
        <s v="C072"/>
        <s v="C073"/>
        <s v="C074"/>
        <s v="C075"/>
        <s v="C076"/>
        <s v="C077"/>
        <s v="C078"/>
        <s v="C079"/>
        <s v="C080"/>
        <s v="C081"/>
        <s v="C082"/>
        <s v="C083"/>
        <s v="C084"/>
        <s v="C085"/>
        <s v="C086"/>
        <s v="C087"/>
        <s v="C088"/>
        <s v="C089"/>
        <s v="C090"/>
        <s v="C091"/>
        <s v="C092"/>
        <s v="C093"/>
        <s v="C094"/>
        <s v="C095"/>
        <s v="C096"/>
        <s v="C097"/>
        <s v="C098"/>
        <s v="C099"/>
        <s v="C100"/>
      </sharedItems>
    </cacheField>
    <cacheField name="Age_Months" numFmtId="0">
      <sharedItems containsSemiMixedTypes="0" containsString="0" containsNumber="1" containsInteger="1" minValue="25" maxValue="59" count="34">
        <n v="47"/>
        <n v="34"/>
        <n v="35"/>
        <n v="39"/>
        <n v="26"/>
        <n v="51"/>
        <n v="52"/>
        <n v="28"/>
        <n v="44"/>
        <n v="25"/>
        <n v="32"/>
        <n v="49"/>
        <n v="38"/>
        <n v="57"/>
        <n v="56"/>
        <n v="46"/>
        <n v="30"/>
        <n v="43"/>
        <n v="31"/>
        <n v="48"/>
        <n v="27"/>
        <n v="45"/>
        <n v="54"/>
        <n v="40"/>
        <n v="55"/>
        <n v="42"/>
        <n v="36"/>
        <n v="50"/>
        <n v="59"/>
        <n v="53"/>
        <n v="33"/>
        <n v="41"/>
        <n v="29"/>
        <n v="58"/>
      </sharedItems>
    </cacheField>
    <cacheField name="Gender" numFmtId="0">
      <sharedItems count="2">
        <s v="Female"/>
        <s v="Male"/>
      </sharedItems>
    </cacheField>
    <cacheField name="Height_cm" numFmtId="2">
      <sharedItems containsSemiMixedTypes="0" containsString="0" containsNumber="1" minValue="88.93" maxValue="115.19"/>
    </cacheField>
    <cacheField name="Weight_kg" numFmtId="2">
      <sharedItems containsSemiMixedTypes="0" containsString="0" containsNumber="1" minValue="11.75" maxValue="25.26"/>
    </cacheField>
    <cacheField name="Daily_Fruit_Servings" numFmtId="1">
      <sharedItems containsSemiMixedTypes="0" containsString="0" containsNumber="1" containsInteger="1" minValue="0" maxValue="4" count="5">
        <n v="1"/>
        <n v="0"/>
        <n v="3"/>
        <n v="2"/>
        <n v="4"/>
      </sharedItems>
    </cacheField>
    <cacheField name="Daily_Veggie_Servings" numFmtId="1">
      <sharedItems containsSemiMixedTypes="0" containsString="0" containsNumber="1" containsInteger="1" minValue="0" maxValue="4" count="5">
        <n v="2"/>
        <n v="1"/>
        <n v="3"/>
        <n v="0"/>
        <n v="4"/>
      </sharedItems>
    </cacheField>
    <cacheField name="Daily_Sugar_Drinks" numFmtId="1">
      <sharedItems containsSemiMixedTypes="0" containsString="0" containsNumber="1" containsInteger="1" minValue="0" maxValue="3"/>
    </cacheField>
    <cacheField name="ScreenTime_Hours" numFmtId="2">
      <sharedItems containsSemiMixedTypes="0" containsString="0" containsNumber="1" minValue="0.5" maxValue="3.8"/>
    </cacheField>
    <cacheField name="Region" numFmtId="0">
      <sharedItems count="5">
        <s v="South"/>
        <s v="Central"/>
        <s v="East"/>
        <s v="North"/>
        <s v="West"/>
      </sharedItems>
    </cacheField>
    <cacheField name="1. BMI" numFmtId="1">
      <sharedItems containsSemiMixedTypes="0" containsString="0" containsNumber="1" minValue="11.23198275256877" maxValue="21.36231277340449"/>
    </cacheField>
    <cacheField name="1. Health Status" numFmtId="0">
      <sharedItems count="2">
        <s v="Underweight"/>
        <s v="Healthy Weight"/>
      </sharedItems>
    </cacheField>
    <cacheField name="Age Group" numFmtId="0">
      <sharedItems count="5">
        <s v="37-48 Months"/>
        <s v="24-36 Months"/>
        <s v="49-60 Months"/>
        <s v="36-48 Months" u="1"/>
        <s v="48-60 Months" u="1"/>
      </sharedItems>
    </cacheField>
  </cacheFields>
  <extLst>
    <ext xmlns:x14="http://schemas.microsoft.com/office/spreadsheetml/2009/9/main" uri="{725AE2AE-9491-48be-B2B4-4EB974FC3084}">
      <x14:pivotCacheDefinition pivotCacheId="1"/>
    </ext>
  </extLst>
</pivotCacheDefinition>
</file>

<file path=xl/pivotCache/pivotCacheRecords1.xml><?xml version="1.0" encoding="utf-8"?>
<pivotCacheRecords xmlns="http://schemas.openxmlformats.org/spreadsheetml/2006/main" xmlns:r="http://schemas.openxmlformats.org/officeDocument/2006/relationships" count="100">
  <r>
    <x v="0"/>
    <x v="0"/>
    <x v="0"/>
    <n v="104.41"/>
    <n v="17.34"/>
    <x v="0"/>
    <x v="0"/>
    <n v="3"/>
    <n v="1.2"/>
    <x v="0"/>
    <n v="15.90614369846883"/>
    <x v="0"/>
    <x v="0"/>
  </r>
  <r>
    <x v="1"/>
    <x v="1"/>
    <x v="0"/>
    <n v="99.08"/>
    <n v="16.21"/>
    <x v="1"/>
    <x v="1"/>
    <n v="1"/>
    <n v="1.4"/>
    <x v="1"/>
    <n v="16.512431120446177"/>
    <x v="0"/>
    <x v="1"/>
  </r>
  <r>
    <x v="2"/>
    <x v="2"/>
    <x v="0"/>
    <n v="94.96"/>
    <n v="17.3"/>
    <x v="2"/>
    <x v="2"/>
    <n v="2"/>
    <n v="0.6"/>
    <x v="1"/>
    <n v="19.185127564907393"/>
    <x v="1"/>
    <x v="1"/>
  </r>
  <r>
    <x v="3"/>
    <x v="3"/>
    <x v="0"/>
    <n v="100.65"/>
    <n v="20.010000000000002"/>
    <x v="3"/>
    <x v="3"/>
    <n v="1"/>
    <n v="1.5"/>
    <x v="1"/>
    <n v="19.75238446372795"/>
    <x v="1"/>
    <x v="0"/>
  </r>
  <r>
    <x v="4"/>
    <x v="4"/>
    <x v="0"/>
    <n v="90.06"/>
    <n v="12.16"/>
    <x v="1"/>
    <x v="1"/>
    <n v="0"/>
    <n v="0.9"/>
    <x v="0"/>
    <n v="14.992349216790304"/>
    <x v="0"/>
    <x v="1"/>
  </r>
  <r>
    <x v="5"/>
    <x v="5"/>
    <x v="1"/>
    <n v="108.82"/>
    <n v="21.54"/>
    <x v="1"/>
    <x v="1"/>
    <n v="1"/>
    <n v="0.9"/>
    <x v="2"/>
    <n v="18.189813900132215"/>
    <x v="1"/>
    <x v="2"/>
  </r>
  <r>
    <x v="6"/>
    <x v="6"/>
    <x v="1"/>
    <n v="110.28"/>
    <n v="21.49"/>
    <x v="4"/>
    <x v="3"/>
    <n v="2"/>
    <n v="2.8"/>
    <x v="0"/>
    <n v="17.67025840775398"/>
    <x v="0"/>
    <x v="2"/>
  </r>
  <r>
    <x v="7"/>
    <x v="6"/>
    <x v="0"/>
    <n v="102.65"/>
    <n v="19.55"/>
    <x v="3"/>
    <x v="0"/>
    <n v="1"/>
    <n v="1.3"/>
    <x v="1"/>
    <n v="18.553628408784363"/>
    <x v="1"/>
    <x v="2"/>
  </r>
  <r>
    <x v="8"/>
    <x v="7"/>
    <x v="1"/>
    <n v="91.47"/>
    <n v="16.39"/>
    <x v="2"/>
    <x v="0"/>
    <n v="3"/>
    <n v="0.8"/>
    <x v="3"/>
    <n v="19.589420799631078"/>
    <x v="1"/>
    <x v="1"/>
  </r>
  <r>
    <x v="9"/>
    <x v="8"/>
    <x v="0"/>
    <n v="111.89"/>
    <n v="17.95"/>
    <x v="0"/>
    <x v="2"/>
    <n v="0"/>
    <n v="0.8"/>
    <x v="1"/>
    <n v="14.337779767724934"/>
    <x v="0"/>
    <x v="0"/>
  </r>
  <r>
    <x v="10"/>
    <x v="9"/>
    <x v="1"/>
    <n v="96.25"/>
    <n v="13.5"/>
    <x v="2"/>
    <x v="4"/>
    <n v="0"/>
    <n v="0.6"/>
    <x v="4"/>
    <n v="14.572440546466519"/>
    <x v="0"/>
    <x v="1"/>
  </r>
  <r>
    <x v="11"/>
    <x v="10"/>
    <x v="0"/>
    <n v="96.02"/>
    <n v="16.55"/>
    <x v="3"/>
    <x v="3"/>
    <n v="2"/>
    <n v="1"/>
    <x v="3"/>
    <n v="17.950419185130364"/>
    <x v="0"/>
    <x v="1"/>
  </r>
  <r>
    <x v="12"/>
    <x v="1"/>
    <x v="1"/>
    <n v="97.37"/>
    <n v="15.55"/>
    <x v="1"/>
    <x v="1"/>
    <n v="2"/>
    <n v="1.3"/>
    <x v="2"/>
    <n v="16.401367255945466"/>
    <x v="0"/>
    <x v="1"/>
  </r>
  <r>
    <x v="13"/>
    <x v="11"/>
    <x v="1"/>
    <n v="108.39"/>
    <n v="20.100000000000001"/>
    <x v="1"/>
    <x v="0"/>
    <n v="3"/>
    <n v="0.6"/>
    <x v="2"/>
    <n v="17.108724180222072"/>
    <x v="0"/>
    <x v="2"/>
  </r>
  <r>
    <x v="14"/>
    <x v="9"/>
    <x v="1"/>
    <n v="92.58"/>
    <n v="15.13"/>
    <x v="3"/>
    <x v="0"/>
    <n v="2"/>
    <n v="1.6"/>
    <x v="1"/>
    <n v="17.652433135313405"/>
    <x v="0"/>
    <x v="1"/>
  </r>
  <r>
    <x v="15"/>
    <x v="12"/>
    <x v="1"/>
    <n v="99.65"/>
    <n v="16.940000000000001"/>
    <x v="0"/>
    <x v="2"/>
    <n v="3"/>
    <n v="2.1"/>
    <x v="1"/>
    <n v="17.059205462973896"/>
    <x v="0"/>
    <x v="0"/>
  </r>
  <r>
    <x v="16"/>
    <x v="12"/>
    <x v="0"/>
    <n v="98.91"/>
    <n v="19.489999999999998"/>
    <x v="1"/>
    <x v="3"/>
    <n v="3"/>
    <n v="3.1"/>
    <x v="1"/>
    <n v="19.92193117497148"/>
    <x v="1"/>
    <x v="0"/>
  </r>
  <r>
    <x v="17"/>
    <x v="9"/>
    <x v="0"/>
    <n v="96.42"/>
    <n v="14.69"/>
    <x v="0"/>
    <x v="2"/>
    <n v="2"/>
    <n v="1.2"/>
    <x v="3"/>
    <n v="15.801108000799067"/>
    <x v="0"/>
    <x v="1"/>
  </r>
  <r>
    <x v="18"/>
    <x v="13"/>
    <x v="0"/>
    <n v="109.26"/>
    <n v="20.61"/>
    <x v="2"/>
    <x v="0"/>
    <n v="1"/>
    <n v="2"/>
    <x v="2"/>
    <n v="17.264563375422682"/>
    <x v="0"/>
    <x v="2"/>
  </r>
  <r>
    <x v="19"/>
    <x v="1"/>
    <x v="1"/>
    <n v="98.22"/>
    <n v="15.49"/>
    <x v="0"/>
    <x v="0"/>
    <n v="0"/>
    <n v="0.8"/>
    <x v="1"/>
    <n v="16.056524938447225"/>
    <x v="0"/>
    <x v="1"/>
  </r>
  <r>
    <x v="20"/>
    <x v="2"/>
    <x v="0"/>
    <n v="101.02"/>
    <n v="16.760000000000002"/>
    <x v="2"/>
    <x v="0"/>
    <n v="2"/>
    <n v="1.9"/>
    <x v="0"/>
    <n v="16.423256883921791"/>
    <x v="0"/>
    <x v="1"/>
  </r>
  <r>
    <x v="21"/>
    <x v="14"/>
    <x v="1"/>
    <n v="111.44"/>
    <n v="21.87"/>
    <x v="4"/>
    <x v="1"/>
    <n v="2"/>
    <n v="1.9"/>
    <x v="2"/>
    <n v="17.610292772445963"/>
    <x v="0"/>
    <x v="2"/>
  </r>
  <r>
    <x v="22"/>
    <x v="15"/>
    <x v="1"/>
    <n v="103.85"/>
    <n v="19.47"/>
    <x v="3"/>
    <x v="4"/>
    <n v="3"/>
    <n v="2.9"/>
    <x v="2"/>
    <n v="18.053148301698982"/>
    <x v="1"/>
    <x v="0"/>
  </r>
  <r>
    <x v="23"/>
    <x v="2"/>
    <x v="0"/>
    <n v="102.67"/>
    <n v="13.79"/>
    <x v="4"/>
    <x v="1"/>
    <n v="1"/>
    <n v="2"/>
    <x v="1"/>
    <n v="13.082090287312587"/>
    <x v="0"/>
    <x v="1"/>
  </r>
  <r>
    <x v="24"/>
    <x v="6"/>
    <x v="1"/>
    <n v="107.91"/>
    <n v="19.27"/>
    <x v="4"/>
    <x v="3"/>
    <n v="0"/>
    <n v="0.8"/>
    <x v="2"/>
    <n v="16.548488389191526"/>
    <x v="0"/>
    <x v="2"/>
  </r>
  <r>
    <x v="25"/>
    <x v="16"/>
    <x v="0"/>
    <n v="96.67"/>
    <n v="15.72"/>
    <x v="2"/>
    <x v="1"/>
    <n v="2"/>
    <n v="1.2"/>
    <x v="3"/>
    <n v="16.821669829165565"/>
    <x v="0"/>
    <x v="1"/>
  </r>
  <r>
    <x v="26"/>
    <x v="2"/>
    <x v="1"/>
    <n v="101.41"/>
    <n v="19.45"/>
    <x v="1"/>
    <x v="4"/>
    <n v="2"/>
    <n v="1.9"/>
    <x v="0"/>
    <n v="18.912896252767929"/>
    <x v="1"/>
    <x v="1"/>
  </r>
  <r>
    <x v="27"/>
    <x v="10"/>
    <x v="0"/>
    <n v="102.28"/>
    <n v="11.75"/>
    <x v="3"/>
    <x v="1"/>
    <n v="1"/>
    <n v="1.3"/>
    <x v="2"/>
    <n v="11.23198275256877"/>
    <x v="0"/>
    <x v="1"/>
  </r>
  <r>
    <x v="28"/>
    <x v="15"/>
    <x v="1"/>
    <n v="105.06"/>
    <n v="17.260000000000002"/>
    <x v="4"/>
    <x v="1"/>
    <n v="2"/>
    <n v="0.8"/>
    <x v="1"/>
    <n v="15.637452318001349"/>
    <x v="0"/>
    <x v="0"/>
  </r>
  <r>
    <x v="29"/>
    <x v="17"/>
    <x v="1"/>
    <n v="103.22"/>
    <n v="20.74"/>
    <x v="3"/>
    <x v="0"/>
    <n v="3"/>
    <n v="2.1"/>
    <x v="0"/>
    <n v="19.466193791459283"/>
    <x v="1"/>
    <x v="0"/>
  </r>
  <r>
    <x v="30"/>
    <x v="15"/>
    <x v="0"/>
    <n v="105.42"/>
    <n v="20.23"/>
    <x v="4"/>
    <x v="3"/>
    <n v="2"/>
    <n v="2.2999999999999998"/>
    <x v="4"/>
    <n v="18.203288786295403"/>
    <x v="1"/>
    <x v="0"/>
  </r>
  <r>
    <x v="31"/>
    <x v="10"/>
    <x v="1"/>
    <n v="97.29"/>
    <n v="12.89"/>
    <x v="4"/>
    <x v="0"/>
    <n v="2"/>
    <n v="1.3"/>
    <x v="1"/>
    <n v="13.618099737124188"/>
    <x v="0"/>
    <x v="1"/>
  </r>
  <r>
    <x v="32"/>
    <x v="15"/>
    <x v="1"/>
    <n v="106.22"/>
    <n v="19.48"/>
    <x v="4"/>
    <x v="2"/>
    <n v="0"/>
    <n v="0.7"/>
    <x v="0"/>
    <n v="17.26538862847617"/>
    <x v="0"/>
    <x v="0"/>
  </r>
  <r>
    <x v="33"/>
    <x v="14"/>
    <x v="0"/>
    <n v="114.63"/>
    <n v="20.11"/>
    <x v="3"/>
    <x v="1"/>
    <n v="0"/>
    <n v="0.8"/>
    <x v="4"/>
    <n v="15.304371025015923"/>
    <x v="0"/>
    <x v="2"/>
  </r>
  <r>
    <x v="34"/>
    <x v="16"/>
    <x v="0"/>
    <n v="93.15"/>
    <n v="14.24"/>
    <x v="0"/>
    <x v="1"/>
    <n v="2"/>
    <n v="1.3"/>
    <x v="1"/>
    <n v="16.411348608910586"/>
    <x v="0"/>
    <x v="1"/>
  </r>
  <r>
    <x v="35"/>
    <x v="8"/>
    <x v="0"/>
    <n v="102.36"/>
    <n v="19.600000000000001"/>
    <x v="0"/>
    <x v="0"/>
    <n v="0"/>
    <n v="0.9"/>
    <x v="4"/>
    <n v="18.706628300517327"/>
    <x v="1"/>
    <x v="0"/>
  </r>
  <r>
    <x v="36"/>
    <x v="17"/>
    <x v="0"/>
    <n v="105.34"/>
    <n v="14.14"/>
    <x v="4"/>
    <x v="2"/>
    <n v="0"/>
    <n v="0.8"/>
    <x v="2"/>
    <n v="12.742738810730817"/>
    <x v="0"/>
    <x v="0"/>
  </r>
  <r>
    <x v="37"/>
    <x v="18"/>
    <x v="0"/>
    <n v="96.26"/>
    <n v="17.63"/>
    <x v="2"/>
    <x v="2"/>
    <n v="2"/>
    <n v="1.7"/>
    <x v="2"/>
    <n v="19.026574134418222"/>
    <x v="1"/>
    <x v="1"/>
  </r>
  <r>
    <x v="38"/>
    <x v="7"/>
    <x v="1"/>
    <n v="97.25"/>
    <n v="14.98"/>
    <x v="2"/>
    <x v="4"/>
    <n v="3"/>
    <n v="3.2"/>
    <x v="1"/>
    <n v="15.839176320537135"/>
    <x v="0"/>
    <x v="1"/>
  </r>
  <r>
    <x v="39"/>
    <x v="19"/>
    <x v="1"/>
    <n v="108.23"/>
    <n v="21"/>
    <x v="2"/>
    <x v="4"/>
    <n v="0"/>
    <n v="0.6"/>
    <x v="1"/>
    <n v="17.927675301525785"/>
    <x v="0"/>
    <x v="0"/>
  </r>
  <r>
    <x v="40"/>
    <x v="20"/>
    <x v="1"/>
    <n v="97"/>
    <n v="15.12"/>
    <x v="4"/>
    <x v="3"/>
    <n v="1"/>
    <n v="1.7"/>
    <x v="3"/>
    <n v="16.069720480391116"/>
    <x v="0"/>
    <x v="1"/>
  </r>
  <r>
    <x v="41"/>
    <x v="21"/>
    <x v="1"/>
    <n v="107.27"/>
    <n v="22.7"/>
    <x v="4"/>
    <x v="3"/>
    <n v="0"/>
    <n v="0.8"/>
    <x v="0"/>
    <n v="19.727374806364303"/>
    <x v="1"/>
    <x v="0"/>
  </r>
  <r>
    <x v="42"/>
    <x v="22"/>
    <x v="1"/>
    <n v="112.46"/>
    <n v="21.36"/>
    <x v="3"/>
    <x v="3"/>
    <n v="1"/>
    <n v="1"/>
    <x v="1"/>
    <n v="16.889044889405064"/>
    <x v="0"/>
    <x v="2"/>
  </r>
  <r>
    <x v="43"/>
    <x v="23"/>
    <x v="1"/>
    <n v="103.32"/>
    <n v="17.41"/>
    <x v="0"/>
    <x v="3"/>
    <n v="2"/>
    <n v="2"/>
    <x v="2"/>
    <n v="16.309099267089127"/>
    <x v="0"/>
    <x v="0"/>
  </r>
  <r>
    <x v="44"/>
    <x v="6"/>
    <x v="0"/>
    <n v="107.31"/>
    <n v="17.34"/>
    <x v="0"/>
    <x v="2"/>
    <n v="0"/>
    <n v="0.5"/>
    <x v="3"/>
    <n v="15.058048908803379"/>
    <x v="0"/>
    <x v="2"/>
  </r>
  <r>
    <x v="45"/>
    <x v="1"/>
    <x v="1"/>
    <n v="99.12"/>
    <n v="17.43"/>
    <x v="2"/>
    <x v="4"/>
    <n v="3"/>
    <n v="1.6"/>
    <x v="0"/>
    <n v="17.740865378038603"/>
    <x v="0"/>
    <x v="1"/>
  </r>
  <r>
    <x v="46"/>
    <x v="20"/>
    <x v="1"/>
    <n v="93.16"/>
    <n v="15.53"/>
    <x v="3"/>
    <x v="0"/>
    <n v="0"/>
    <n v="0.8"/>
    <x v="1"/>
    <n v="17.89420860909388"/>
    <x v="0"/>
    <x v="1"/>
  </r>
  <r>
    <x v="47"/>
    <x v="24"/>
    <x v="1"/>
    <n v="111.49"/>
    <n v="20.23"/>
    <x v="0"/>
    <x v="3"/>
    <n v="1"/>
    <n v="1.6"/>
    <x v="3"/>
    <n v="16.27511447065158"/>
    <x v="0"/>
    <x v="2"/>
  </r>
  <r>
    <x v="48"/>
    <x v="25"/>
    <x v="0"/>
    <n v="108.71"/>
    <n v="16.2"/>
    <x v="3"/>
    <x v="1"/>
    <n v="3"/>
    <n v="1.1000000000000001"/>
    <x v="3"/>
    <n v="13.708060833090812"/>
    <x v="0"/>
    <x v="0"/>
  </r>
  <r>
    <x v="49"/>
    <x v="26"/>
    <x v="0"/>
    <n v="97.21"/>
    <n v="13.41"/>
    <x v="4"/>
    <x v="2"/>
    <n v="1"/>
    <n v="0.9"/>
    <x v="1"/>
    <n v="14.190800401461026"/>
    <x v="0"/>
    <x v="1"/>
  </r>
  <r>
    <x v="50"/>
    <x v="1"/>
    <x v="0"/>
    <n v="98.46"/>
    <n v="15.38"/>
    <x v="2"/>
    <x v="0"/>
    <n v="2"/>
    <n v="1.2"/>
    <x v="0"/>
    <n v="15.864875656303504"/>
    <x v="0"/>
    <x v="1"/>
  </r>
  <r>
    <x v="51"/>
    <x v="23"/>
    <x v="0"/>
    <n v="100.6"/>
    <n v="17.309999999999999"/>
    <x v="1"/>
    <x v="2"/>
    <n v="0"/>
    <n v="0.6"/>
    <x v="4"/>
    <n v="17.104134635526798"/>
    <x v="0"/>
    <x v="0"/>
  </r>
  <r>
    <x v="52"/>
    <x v="3"/>
    <x v="0"/>
    <n v="96.54"/>
    <n v="18.239999999999998"/>
    <x v="4"/>
    <x v="2"/>
    <n v="1"/>
    <n v="1.9"/>
    <x v="4"/>
    <n v="19.570875087215928"/>
    <x v="1"/>
    <x v="0"/>
  </r>
  <r>
    <x v="53"/>
    <x v="13"/>
    <x v="1"/>
    <n v="110.58"/>
    <n v="21.99"/>
    <x v="2"/>
    <x v="3"/>
    <n v="0"/>
    <n v="0.9"/>
    <x v="0"/>
    <n v="17.983410512341237"/>
    <x v="0"/>
    <x v="2"/>
  </r>
  <r>
    <x v="54"/>
    <x v="27"/>
    <x v="0"/>
    <n v="114.47"/>
    <n v="18.010000000000002"/>
    <x v="0"/>
    <x v="2"/>
    <n v="0"/>
    <n v="0.6"/>
    <x v="3"/>
    <n v="13.744544356487417"/>
    <x v="0"/>
    <x v="2"/>
  </r>
  <r>
    <x v="55"/>
    <x v="18"/>
    <x v="0"/>
    <n v="96.28"/>
    <n v="16.84"/>
    <x v="4"/>
    <x v="0"/>
    <n v="3"/>
    <n v="0.5"/>
    <x v="2"/>
    <n v="18.166443980296357"/>
    <x v="1"/>
    <x v="1"/>
  </r>
  <r>
    <x v="56"/>
    <x v="8"/>
    <x v="0"/>
    <n v="104.76"/>
    <n v="18.399999999999999"/>
    <x v="4"/>
    <x v="0"/>
    <n v="1"/>
    <n v="0.7"/>
    <x v="0"/>
    <n v="16.765898919707524"/>
    <x v="0"/>
    <x v="0"/>
  </r>
  <r>
    <x v="57"/>
    <x v="25"/>
    <x v="1"/>
    <n v="105.35"/>
    <n v="19.88"/>
    <x v="0"/>
    <x v="0"/>
    <n v="2"/>
    <n v="2.8"/>
    <x v="2"/>
    <n v="17.912132789452027"/>
    <x v="0"/>
    <x v="0"/>
  </r>
  <r>
    <x v="58"/>
    <x v="28"/>
    <x v="1"/>
    <n v="110.75"/>
    <n v="24.56"/>
    <x v="4"/>
    <x v="4"/>
    <n v="1"/>
    <n v="1.7"/>
    <x v="0"/>
    <n v="20.023541521230683"/>
    <x v="1"/>
    <x v="2"/>
  </r>
  <r>
    <x v="59"/>
    <x v="14"/>
    <x v="1"/>
    <n v="108"/>
    <n v="22.24"/>
    <x v="3"/>
    <x v="4"/>
    <n v="2"/>
    <n v="1.1000000000000001"/>
    <x v="1"/>
    <n v="19.067215363511657"/>
    <x v="1"/>
    <x v="2"/>
  </r>
  <r>
    <x v="60"/>
    <x v="10"/>
    <x v="0"/>
    <n v="98.63"/>
    <n v="17.96"/>
    <x v="1"/>
    <x v="3"/>
    <n v="2"/>
    <n v="2.6"/>
    <x v="3"/>
    <n v="18.462404679483562"/>
    <x v="1"/>
    <x v="1"/>
  </r>
  <r>
    <x v="61"/>
    <x v="0"/>
    <x v="0"/>
    <n v="103.57"/>
    <n v="22.13"/>
    <x v="2"/>
    <x v="0"/>
    <n v="0"/>
    <n v="0.6"/>
    <x v="0"/>
    <n v="20.630676133633052"/>
    <x v="1"/>
    <x v="0"/>
  </r>
  <r>
    <x v="62"/>
    <x v="7"/>
    <x v="1"/>
    <n v="92.72"/>
    <n v="15.7"/>
    <x v="4"/>
    <x v="3"/>
    <n v="1"/>
    <n v="0.5"/>
    <x v="3"/>
    <n v="18.26218788176115"/>
    <x v="1"/>
    <x v="1"/>
  </r>
  <r>
    <x v="63"/>
    <x v="14"/>
    <x v="1"/>
    <n v="113.3"/>
    <n v="20.45"/>
    <x v="3"/>
    <x v="0"/>
    <n v="2"/>
    <n v="0.5"/>
    <x v="4"/>
    <n v="15.930649869244029"/>
    <x v="0"/>
    <x v="2"/>
  </r>
  <r>
    <x v="64"/>
    <x v="12"/>
    <x v="1"/>
    <n v="104.84"/>
    <n v="19.829999999999998"/>
    <x v="4"/>
    <x v="3"/>
    <n v="0"/>
    <n v="0.8"/>
    <x v="3"/>
    <n v="18.041335784504604"/>
    <x v="1"/>
    <x v="0"/>
  </r>
  <r>
    <x v="65"/>
    <x v="27"/>
    <x v="0"/>
    <n v="104.56"/>
    <n v="21.62"/>
    <x v="4"/>
    <x v="1"/>
    <n v="1"/>
    <n v="2"/>
    <x v="0"/>
    <n v="19.775366471749727"/>
    <x v="1"/>
    <x v="2"/>
  </r>
  <r>
    <x v="66"/>
    <x v="20"/>
    <x v="1"/>
    <n v="97.32"/>
    <n v="16.28"/>
    <x v="3"/>
    <x v="4"/>
    <n v="0"/>
    <n v="0.8"/>
    <x v="0"/>
    <n v="17.188983711262917"/>
    <x v="0"/>
    <x v="1"/>
  </r>
  <r>
    <x v="67"/>
    <x v="10"/>
    <x v="0"/>
    <n v="103.58"/>
    <n v="15.12"/>
    <x v="4"/>
    <x v="3"/>
    <n v="2"/>
    <n v="1.8"/>
    <x v="2"/>
    <n v="14.092887263873765"/>
    <x v="0"/>
    <x v="1"/>
  </r>
  <r>
    <x v="68"/>
    <x v="29"/>
    <x v="1"/>
    <n v="105.92"/>
    <n v="22.98"/>
    <x v="3"/>
    <x v="3"/>
    <n v="0"/>
    <n v="0.8"/>
    <x v="4"/>
    <n v="20.483024296966988"/>
    <x v="1"/>
    <x v="2"/>
  </r>
  <r>
    <x v="69"/>
    <x v="30"/>
    <x v="1"/>
    <n v="104.76"/>
    <n v="13.89"/>
    <x v="2"/>
    <x v="4"/>
    <n v="0"/>
    <n v="0.5"/>
    <x v="2"/>
    <n v="12.656431304061822"/>
    <x v="0"/>
    <x v="1"/>
  </r>
  <r>
    <x v="70"/>
    <x v="11"/>
    <x v="1"/>
    <n v="108.22"/>
    <n v="19.55"/>
    <x v="0"/>
    <x v="1"/>
    <n v="2"/>
    <n v="1.6"/>
    <x v="2"/>
    <n v="16.692896572247317"/>
    <x v="0"/>
    <x v="2"/>
  </r>
  <r>
    <x v="71"/>
    <x v="10"/>
    <x v="0"/>
    <n v="97.69"/>
    <n v="18.04"/>
    <x v="2"/>
    <x v="0"/>
    <n v="2"/>
    <n v="2.2000000000000002"/>
    <x v="0"/>
    <n v="18.903242860743426"/>
    <x v="1"/>
    <x v="1"/>
  </r>
  <r>
    <x v="72"/>
    <x v="6"/>
    <x v="0"/>
    <n v="104.99"/>
    <n v="22.77"/>
    <x v="2"/>
    <x v="0"/>
    <n v="1"/>
    <n v="1.1000000000000001"/>
    <x v="1"/>
    <n v="20.656995702972939"/>
    <x v="1"/>
    <x v="2"/>
  </r>
  <r>
    <x v="73"/>
    <x v="9"/>
    <x v="1"/>
    <n v="88.93"/>
    <n v="15.5"/>
    <x v="2"/>
    <x v="3"/>
    <n v="3"/>
    <n v="3.8"/>
    <x v="1"/>
    <n v="19.59905418252098"/>
    <x v="1"/>
    <x v="1"/>
  </r>
  <r>
    <x v="74"/>
    <x v="31"/>
    <x v="0"/>
    <n v="105.5"/>
    <n v="20.18"/>
    <x v="0"/>
    <x v="4"/>
    <n v="3"/>
    <n v="1.9"/>
    <x v="3"/>
    <n v="18.130769749107163"/>
    <x v="1"/>
    <x v="0"/>
  </r>
  <r>
    <x v="75"/>
    <x v="12"/>
    <x v="1"/>
    <n v="101.47"/>
    <n v="15.96"/>
    <x v="0"/>
    <x v="1"/>
    <n v="0"/>
    <n v="0.8"/>
    <x v="0"/>
    <n v="15.500923261601326"/>
    <x v="0"/>
    <x v="0"/>
  </r>
  <r>
    <x v="76"/>
    <x v="15"/>
    <x v="1"/>
    <n v="103.84"/>
    <n v="17.13"/>
    <x v="1"/>
    <x v="4"/>
    <n v="1"/>
    <n v="0.7"/>
    <x v="2"/>
    <n v="15.886491841187462"/>
    <x v="0"/>
    <x v="0"/>
  </r>
  <r>
    <x v="77"/>
    <x v="21"/>
    <x v="1"/>
    <n v="103.74"/>
    <n v="18.21"/>
    <x v="0"/>
    <x v="2"/>
    <n v="0"/>
    <n v="0.5"/>
    <x v="2"/>
    <n v="16.920666215969256"/>
    <x v="0"/>
    <x v="0"/>
  </r>
  <r>
    <x v="78"/>
    <x v="19"/>
    <x v="1"/>
    <n v="101.32"/>
    <n v="21.93"/>
    <x v="4"/>
    <x v="0"/>
    <n v="2"/>
    <n v="2.8"/>
    <x v="1"/>
    <n v="21.36231277340449"/>
    <x v="1"/>
    <x v="0"/>
  </r>
  <r>
    <x v="79"/>
    <x v="22"/>
    <x v="0"/>
    <n v="109.83"/>
    <n v="21.35"/>
    <x v="2"/>
    <x v="0"/>
    <n v="1"/>
    <n v="0.7"/>
    <x v="3"/>
    <n v="17.699292730459444"/>
    <x v="0"/>
    <x v="2"/>
  </r>
  <r>
    <x v="80"/>
    <x v="11"/>
    <x v="1"/>
    <n v="112.98"/>
    <n v="18.22"/>
    <x v="2"/>
    <x v="1"/>
    <n v="1"/>
    <n v="1.7"/>
    <x v="0"/>
    <n v="14.273984861929826"/>
    <x v="0"/>
    <x v="2"/>
  </r>
  <r>
    <x v="81"/>
    <x v="21"/>
    <x v="0"/>
    <n v="104.87"/>
    <n v="19.66"/>
    <x v="0"/>
    <x v="4"/>
    <n v="2"/>
    <n v="1.1000000000000001"/>
    <x v="4"/>
    <n v="17.876437608609475"/>
    <x v="0"/>
    <x v="0"/>
  </r>
  <r>
    <x v="82"/>
    <x v="16"/>
    <x v="1"/>
    <n v="100.81"/>
    <n v="14.39"/>
    <x v="3"/>
    <x v="4"/>
    <n v="2"/>
    <n v="2.6"/>
    <x v="0"/>
    <n v="14.159684100694896"/>
    <x v="0"/>
    <x v="1"/>
  </r>
  <r>
    <x v="83"/>
    <x v="32"/>
    <x v="0"/>
    <n v="101.16"/>
    <n v="14.14"/>
    <x v="3"/>
    <x v="0"/>
    <n v="3"/>
    <n v="1.3"/>
    <x v="0"/>
    <n v="13.817573013462967"/>
    <x v="0"/>
    <x v="1"/>
  </r>
  <r>
    <x v="84"/>
    <x v="13"/>
    <x v="0"/>
    <n v="115.19"/>
    <n v="20.76"/>
    <x v="0"/>
    <x v="4"/>
    <n v="0"/>
    <n v="1"/>
    <x v="0"/>
    <n v="15.645800657682841"/>
    <x v="0"/>
    <x v="2"/>
  </r>
  <r>
    <x v="85"/>
    <x v="14"/>
    <x v="1"/>
    <n v="110.72"/>
    <n v="20.149999999999999"/>
    <x v="1"/>
    <x v="1"/>
    <n v="1"/>
    <n v="2"/>
    <x v="4"/>
    <n v="16.43701290971967"/>
    <x v="0"/>
    <x v="2"/>
  </r>
  <r>
    <x v="86"/>
    <x v="14"/>
    <x v="0"/>
    <n v="106.73"/>
    <n v="24.09"/>
    <x v="1"/>
    <x v="1"/>
    <n v="3"/>
    <n v="1.7"/>
    <x v="4"/>
    <n v="21.147731176326783"/>
    <x v="1"/>
    <x v="2"/>
  </r>
  <r>
    <x v="87"/>
    <x v="9"/>
    <x v="0"/>
    <n v="99.72"/>
    <n v="14.9"/>
    <x v="4"/>
    <x v="0"/>
    <n v="3"/>
    <n v="2.2000000000000002"/>
    <x v="1"/>
    <n v="14.983791760933824"/>
    <x v="0"/>
    <x v="1"/>
  </r>
  <r>
    <x v="88"/>
    <x v="16"/>
    <x v="0"/>
    <n v="96.45"/>
    <n v="14.77"/>
    <x v="4"/>
    <x v="0"/>
    <n v="0"/>
    <n v="0.6"/>
    <x v="3"/>
    <n v="15.877277353299789"/>
    <x v="0"/>
    <x v="1"/>
  </r>
  <r>
    <x v="89"/>
    <x v="29"/>
    <x v="1"/>
    <n v="106.44"/>
    <n v="20.73"/>
    <x v="4"/>
    <x v="2"/>
    <n v="2"/>
    <n v="2"/>
    <x v="0"/>
    <n v="18.29740792193558"/>
    <x v="1"/>
    <x v="2"/>
  </r>
  <r>
    <x v="90"/>
    <x v="32"/>
    <x v="0"/>
    <n v="97.77"/>
    <n v="15.72"/>
    <x v="3"/>
    <x v="3"/>
    <n v="0"/>
    <n v="0.9"/>
    <x v="0"/>
    <n v="16.445281479979926"/>
    <x v="0"/>
    <x v="1"/>
  </r>
  <r>
    <x v="91"/>
    <x v="33"/>
    <x v="1"/>
    <n v="113.49"/>
    <n v="25.26"/>
    <x v="1"/>
    <x v="4"/>
    <n v="3"/>
    <n v="3"/>
    <x v="4"/>
    <n v="19.611831543124822"/>
    <x v="1"/>
    <x v="2"/>
  </r>
  <r>
    <x v="92"/>
    <x v="4"/>
    <x v="1"/>
    <n v="92.08"/>
    <n v="15.29"/>
    <x v="4"/>
    <x v="1"/>
    <n v="2"/>
    <n v="2.6"/>
    <x v="2"/>
    <n v="18.033368785198682"/>
    <x v="1"/>
    <x v="1"/>
  </r>
  <r>
    <x v="93"/>
    <x v="9"/>
    <x v="0"/>
    <n v="96.42"/>
    <n v="15.34"/>
    <x v="4"/>
    <x v="2"/>
    <n v="2"/>
    <n v="0.9"/>
    <x v="2"/>
    <n v="16.500272071630885"/>
    <x v="0"/>
    <x v="1"/>
  </r>
  <r>
    <x v="94"/>
    <x v="28"/>
    <x v="0"/>
    <n v="108.1"/>
    <n v="19.25"/>
    <x v="0"/>
    <x v="3"/>
    <n v="1"/>
    <n v="1"/>
    <x v="0"/>
    <n v="16.47325214515973"/>
    <x v="0"/>
    <x v="2"/>
  </r>
  <r>
    <x v="95"/>
    <x v="27"/>
    <x v="0"/>
    <n v="109.15"/>
    <n v="22.09"/>
    <x v="0"/>
    <x v="4"/>
    <n v="0"/>
    <n v="0.6"/>
    <x v="1"/>
    <n v="18.541643890060385"/>
    <x v="1"/>
    <x v="2"/>
  </r>
  <r>
    <x v="96"/>
    <x v="19"/>
    <x v="1"/>
    <n v="107.71"/>
    <n v="19.079999999999998"/>
    <x v="1"/>
    <x v="0"/>
    <n v="2"/>
    <n v="1.8"/>
    <x v="2"/>
    <n v="16.446228448404973"/>
    <x v="0"/>
    <x v="0"/>
  </r>
  <r>
    <x v="97"/>
    <x v="13"/>
    <x v="1"/>
    <n v="112.41"/>
    <n v="21.55"/>
    <x v="3"/>
    <x v="4"/>
    <n v="0"/>
    <n v="0.9"/>
    <x v="0"/>
    <n v="17.054436677671966"/>
    <x v="0"/>
    <x v="2"/>
  </r>
  <r>
    <x v="98"/>
    <x v="21"/>
    <x v="1"/>
    <n v="110.12"/>
    <n v="18.510000000000002"/>
    <x v="1"/>
    <x v="0"/>
    <n v="0"/>
    <n v="0.9"/>
    <x v="3"/>
    <n v="15.264198789050129"/>
    <x v="0"/>
    <x v="0"/>
  </r>
  <r>
    <x v="99"/>
    <x v="11"/>
    <x v="1"/>
    <n v="106.6"/>
    <n v="21.21"/>
    <x v="1"/>
    <x v="3"/>
    <n v="2"/>
    <n v="2.5"/>
    <x v="3"/>
    <n v="18.664925428298883"/>
    <x v="1"/>
    <x v="2"/>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name="PivotTable3" cacheId="3" applyNumberFormats="0" applyBorderFormats="0" applyFontFormats="0" applyPatternFormats="0" applyAlignmentFormats="0" applyWidthHeightFormats="1" dataCaption="Values" updatedVersion="4" minRefreshableVersion="3" useAutoFormatting="1" itemPrintTitles="1" createdVersion="4" indent="0" compact="0" compactData="0" multipleFieldFilters="0" chartFormat="1" rowHeaderCaption="Region" colHeaderCaption=".">
  <location ref="V7:W10" firstHeaderRow="1" firstDataRow="1" firstDataCol="1"/>
  <pivotFields count="13">
    <pivotField compact="0" outline="0" showAll="0">
      <items count="1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t="default"/>
      </items>
    </pivotField>
    <pivotField compact="0" outline="0" showAll="0">
      <items count="35">
        <item x="9"/>
        <item x="4"/>
        <item x="20"/>
        <item x="7"/>
        <item x="32"/>
        <item x="16"/>
        <item x="18"/>
        <item x="10"/>
        <item x="30"/>
        <item x="1"/>
        <item x="2"/>
        <item x="26"/>
        <item x="12"/>
        <item x="3"/>
        <item x="23"/>
        <item x="31"/>
        <item x="25"/>
        <item x="17"/>
        <item x="8"/>
        <item x="21"/>
        <item x="15"/>
        <item x="0"/>
        <item x="19"/>
        <item x="11"/>
        <item x="27"/>
        <item x="5"/>
        <item x="6"/>
        <item x="29"/>
        <item x="22"/>
        <item x="24"/>
        <item x="14"/>
        <item x="13"/>
        <item x="33"/>
        <item x="28"/>
        <item t="default"/>
      </items>
    </pivotField>
    <pivotField compact="0" outline="0" showAll="0"/>
    <pivotField compact="0" numFmtId="2" outline="0" showAll="0"/>
    <pivotField compact="0" numFmtId="2" outline="0" showAll="0"/>
    <pivotField compact="0" numFmtId="1" outline="0" showAll="0" includeNewItemsInFilter="1" avgSubtotal="1">
      <items count="6">
        <item x="1"/>
        <item x="0"/>
        <item x="3"/>
        <item x="2"/>
        <item x="4"/>
        <item t="avg"/>
      </items>
    </pivotField>
    <pivotField compact="0" numFmtId="1" outline="0" showAll="0"/>
    <pivotField compact="0" numFmtId="1" outline="0" showAll="0"/>
    <pivotField compact="0" numFmtId="2" outline="0" showAll="0"/>
    <pivotField compact="0" outline="0" showAll="0">
      <items count="6">
        <item x="1"/>
        <item x="2"/>
        <item x="3"/>
        <item x="0"/>
        <item x="4"/>
        <item t="default"/>
      </items>
    </pivotField>
    <pivotField dataField="1" compact="0" numFmtId="1" outline="0" showAll="0"/>
    <pivotField name="Health Status" axis="axisRow" compact="0" outline="0" showAll="0">
      <items count="3">
        <item x="1"/>
        <item x="0"/>
        <item t="default"/>
      </items>
    </pivotField>
    <pivotField compact="0" outline="0" showAll="0"/>
  </pivotFields>
  <rowFields count="1">
    <field x="11"/>
  </rowFields>
  <rowItems count="3">
    <i>
      <x/>
    </i>
    <i>
      <x v="1"/>
    </i>
    <i t="grand">
      <x/>
    </i>
  </rowItems>
  <colItems count="1">
    <i/>
  </colItems>
  <dataFields count="1">
    <dataField name="Sum of 1. BMI" fld="10" showDataAs="percentOfTotal" baseField="11" baseItem="0" numFmtId="10"/>
  </dataFields>
  <formats count="2">
    <format dxfId="1">
      <pivotArea outline="0" collapsedLevelsAreSubtotals="1" fieldPosition="0"/>
    </format>
    <format dxfId="0">
      <pivotArea outline="0" fieldPosition="0">
        <references count="1">
          <reference field="4294967294" count="1">
            <x v="0"/>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2.xml><?xml version="1.0" encoding="utf-8"?>
<pivotTableDefinition xmlns="http://schemas.openxmlformats.org/spreadsheetml/2006/main" name="PivotTable2" cacheId="3" applyNumberFormats="0" applyBorderFormats="0" applyFontFormats="0" applyPatternFormats="0" applyAlignmentFormats="0" applyWidthHeightFormats="1" dataCaption="Values" updatedVersion="4" minRefreshableVersion="3" useAutoFormatting="1" itemPrintTitles="1" createdVersion="4" indent="0" compact="0" compactData="0" multipleFieldFilters="0" chartFormat="1" rowHeaderCaption="Region" colHeaderCaption=".">
  <location ref="V2:Y3" firstHeaderRow="0" firstDataRow="1" firstDataCol="0"/>
  <pivotFields count="13">
    <pivotField dataField="1" compact="0" outline="0" showAll="0">
      <items count="1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t="default"/>
      </items>
    </pivotField>
    <pivotField compact="0" outline="0" showAll="0">
      <items count="35">
        <item x="9"/>
        <item x="4"/>
        <item x="20"/>
        <item x="7"/>
        <item x="32"/>
        <item x="16"/>
        <item x="18"/>
        <item x="10"/>
        <item x="30"/>
        <item x="1"/>
        <item x="2"/>
        <item x="26"/>
        <item x="12"/>
        <item x="3"/>
        <item x="23"/>
        <item x="31"/>
        <item x="25"/>
        <item x="17"/>
        <item x="8"/>
        <item x="21"/>
        <item x="15"/>
        <item x="0"/>
        <item x="19"/>
        <item x="11"/>
        <item x="27"/>
        <item x="5"/>
        <item x="6"/>
        <item x="29"/>
        <item x="22"/>
        <item x="24"/>
        <item x="14"/>
        <item x="13"/>
        <item x="33"/>
        <item x="28"/>
        <item t="default"/>
      </items>
    </pivotField>
    <pivotField compact="0" outline="0" showAll="0">
      <items count="3">
        <item x="0"/>
        <item x="1"/>
        <item t="default"/>
      </items>
    </pivotField>
    <pivotField compact="0" numFmtId="2" outline="0" showAll="0"/>
    <pivotField compact="0" numFmtId="2" outline="0" showAll="0"/>
    <pivotField compact="0" numFmtId="1" outline="0" showAll="0" includeNewItemsInFilter="1" avgSubtotal="1">
      <items count="6">
        <item x="1"/>
        <item x="0"/>
        <item x="3"/>
        <item x="2"/>
        <item x="4"/>
        <item t="avg"/>
      </items>
    </pivotField>
    <pivotField compact="0" numFmtId="1" outline="0" showAll="0"/>
    <pivotField dataField="1" compact="0" numFmtId="1" outline="0" showAll="0"/>
    <pivotField dataField="1" compact="0" numFmtId="2" outline="0" showAll="0"/>
    <pivotField compact="0" outline="0" showAll="0">
      <items count="6">
        <item x="1"/>
        <item x="2"/>
        <item x="3"/>
        <item x="0"/>
        <item x="4"/>
        <item t="default"/>
      </items>
    </pivotField>
    <pivotField dataField="1" compact="0" numFmtId="1" outline="0" showAll="0"/>
    <pivotField name="Health Status" compact="0" outline="0" showAll="0"/>
    <pivotField compact="0" outline="0" showAll="0"/>
  </pivotFields>
  <rowItems count="1">
    <i/>
  </rowItems>
  <colFields count="1">
    <field x="-2"/>
  </colFields>
  <colItems count="4">
    <i>
      <x/>
    </i>
    <i i="1">
      <x v="1"/>
    </i>
    <i i="2">
      <x v="2"/>
    </i>
    <i i="3">
      <x v="3"/>
    </i>
  </colItems>
  <dataFields count="4">
    <dataField name="Count of ChildID" fld="0" subtotal="count" baseField="0" baseItem="0"/>
    <dataField name="Average of 1. BMI" fld="10" subtotal="average" baseField="0" baseItem="1"/>
    <dataField name="Average of Daily_Sugar_Drinks" fld="7" subtotal="average" baseField="0" baseItem="1"/>
    <dataField name="Average of ScreenTime_Hours" fld="8" subtotal="average" baseField="0" baseItem="1"/>
  </dataFields>
  <formats count="1">
    <format dxfId="2">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3.xml><?xml version="1.0" encoding="utf-8"?>
<pivotTableDefinition xmlns="http://schemas.openxmlformats.org/spreadsheetml/2006/main" name="RDBMI" cacheId="3" applyNumberFormats="0" applyBorderFormats="0" applyFontFormats="0" applyPatternFormats="0" applyAlignmentFormats="0" applyWidthHeightFormats="1" dataCaption="Values" updatedVersion="4" minRefreshableVersion="3" useAutoFormatting="1" itemPrintTitles="1" createdVersion="4" indent="0" compact="0" compactData="0" multipleFieldFilters="0" chartFormat="1" rowHeaderCaption="Region" colHeaderCaption=".">
  <location ref="A2:C8" firstHeaderRow="0" firstDataRow="1" firstDataCol="1"/>
  <pivotFields count="13">
    <pivotField compact="0" outline="0" showAll="0"/>
    <pivotField compact="0" outline="0" showAll="0">
      <items count="35">
        <item x="9"/>
        <item x="4"/>
        <item x="20"/>
        <item x="7"/>
        <item x="32"/>
        <item x="16"/>
        <item x="18"/>
        <item x="10"/>
        <item x="30"/>
        <item x="1"/>
        <item x="2"/>
        <item x="26"/>
        <item x="12"/>
        <item x="3"/>
        <item x="23"/>
        <item x="31"/>
        <item x="25"/>
        <item x="17"/>
        <item x="8"/>
        <item x="21"/>
        <item x="15"/>
        <item x="0"/>
        <item x="19"/>
        <item x="11"/>
        <item x="27"/>
        <item x="5"/>
        <item x="6"/>
        <item x="29"/>
        <item x="22"/>
        <item x="24"/>
        <item x="14"/>
        <item x="13"/>
        <item x="33"/>
        <item x="28"/>
        <item t="default"/>
      </items>
    </pivotField>
    <pivotField compact="0" outline="0" showAll="0"/>
    <pivotField compact="0" numFmtId="2" outline="0" showAll="0"/>
    <pivotField compact="0" numFmtId="2" outline="0" showAll="0"/>
    <pivotField dataField="1" compact="0" numFmtId="1" outline="0" showAll="0" includeNewItemsInFilter="1" avgSubtotal="1">
      <items count="6">
        <item x="1"/>
        <item x="0"/>
        <item x="3"/>
        <item x="2"/>
        <item x="4"/>
        <item t="avg"/>
      </items>
    </pivotField>
    <pivotField compact="0" numFmtId="1" outline="0" showAll="0"/>
    <pivotField compact="0" numFmtId="1" outline="0" showAll="0"/>
    <pivotField compact="0" numFmtId="2" outline="0" showAll="0"/>
    <pivotField axis="axisRow" compact="0" outline="0" showAll="0">
      <items count="6">
        <item x="1"/>
        <item x="2"/>
        <item x="3"/>
        <item x="0"/>
        <item x="4"/>
        <item t="default"/>
      </items>
    </pivotField>
    <pivotField dataField="1" compact="0" numFmtId="1" outline="0" showAll="0"/>
    <pivotField name="Health Status" compact="0" outline="0" showAll="0"/>
    <pivotField compact="0" outline="0" showAll="0"/>
  </pivotFields>
  <rowFields count="1">
    <field x="9"/>
  </rowFields>
  <rowItems count="6">
    <i>
      <x/>
    </i>
    <i>
      <x v="1"/>
    </i>
    <i>
      <x v="2"/>
    </i>
    <i>
      <x v="3"/>
    </i>
    <i>
      <x v="4"/>
    </i>
    <i t="grand">
      <x/>
    </i>
  </rowItems>
  <colFields count="1">
    <field x="-2"/>
  </colFields>
  <colItems count="2">
    <i>
      <x/>
    </i>
    <i i="1">
      <x v="1"/>
    </i>
  </colItems>
  <dataFields count="2">
    <dataField name="Average of BMI" fld="10" subtotal="average" baseField="9" baseItem="0"/>
    <dataField name="Average of Daily_Fruit_Servings" fld="5" subtotal="average" baseField="9" baseItem="0"/>
  </dataFields>
  <formats count="1">
    <format dxfId="15">
      <pivotArea outline="0" collapsedLevelsAreSubtotals="1" fieldPosition="0"/>
    </format>
  </formats>
  <conditionalFormats count="3">
    <conditionalFormat priority="1">
      <pivotAreas count="1">
        <pivotArea type="data" outline="0" collapsedLevelsAreSubtotals="1" fieldPosition="0">
          <references count="2">
            <reference field="4294967294" count="1" selected="0">
              <x v="0"/>
            </reference>
            <reference field="9" count="5" selected="0">
              <x v="0"/>
              <x v="1"/>
              <x v="2"/>
              <x v="3"/>
              <x v="4"/>
            </reference>
          </references>
        </pivotArea>
      </pivotAreas>
    </conditionalFormat>
    <conditionalFormat priority="2">
      <pivotAreas count="1">
        <pivotArea type="data" outline="0" collapsedLevelsAreSubtotals="1" fieldPosition="0">
          <references count="2">
            <reference field="4294967294" count="1" selected="0">
              <x v="1"/>
            </reference>
            <reference field="9" count="5" selected="0">
              <x v="0"/>
              <x v="1"/>
              <x v="2"/>
              <x v="3"/>
              <x v="4"/>
            </reference>
          </references>
        </pivotArea>
      </pivotAreas>
    </conditionalFormat>
    <conditionalFormat scope="field" priority="3">
      <pivotAreas count="1">
        <pivotArea outline="0" collapsedLevelsAreSubtotals="1" fieldPosition="0">
          <references count="2">
            <reference field="4294967294" count="1" selected="0">
              <x v="0"/>
            </reference>
            <reference field="9" count="0" selected="0"/>
          </references>
        </pivotArea>
      </pivotAreas>
    </conditionalFormat>
  </conditional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4.xml><?xml version="1.0" encoding="utf-8"?>
<pivotTableDefinition xmlns="http://schemas.openxmlformats.org/spreadsheetml/2006/main" name="SSA" cacheId="3" applyNumberFormats="0" applyBorderFormats="0" applyFontFormats="0" applyPatternFormats="0" applyAlignmentFormats="0" applyWidthHeightFormats="1" dataCaption="Values" updatedVersion="4" minRefreshableVersion="3" useAutoFormatting="1" itemPrintTitles="1" createdVersion="4" indent="0" outline="1" outlineData="1" multipleFieldFilters="0" chartFormat="9" rowHeaderCaption="Health Status" colHeaderCaption=".">
  <location ref="A3:C6" firstHeaderRow="0" firstDataRow="1" firstDataCol="1"/>
  <pivotFields count="13">
    <pivotField showAll="0"/>
    <pivotField showAll="0">
      <items count="35">
        <item x="9"/>
        <item x="4"/>
        <item x="20"/>
        <item x="7"/>
        <item x="32"/>
        <item x="16"/>
        <item x="18"/>
        <item x="10"/>
        <item x="30"/>
        <item x="1"/>
        <item x="2"/>
        <item x="26"/>
        <item x="12"/>
        <item x="3"/>
        <item x="23"/>
        <item x="31"/>
        <item x="25"/>
        <item x="17"/>
        <item x="8"/>
        <item x="21"/>
        <item x="15"/>
        <item x="0"/>
        <item x="19"/>
        <item x="11"/>
        <item x="27"/>
        <item x="5"/>
        <item x="6"/>
        <item x="29"/>
        <item x="22"/>
        <item x="24"/>
        <item x="14"/>
        <item x="13"/>
        <item x="33"/>
        <item x="28"/>
        <item t="default"/>
      </items>
    </pivotField>
    <pivotField showAll="0"/>
    <pivotField numFmtId="2" showAll="0"/>
    <pivotField numFmtId="2" showAll="0"/>
    <pivotField numFmtId="1" showAll="0" includeNewItemsInFilter="1"/>
    <pivotField numFmtId="1" showAll="0"/>
    <pivotField dataField="1" numFmtId="1" showAll="0"/>
    <pivotField dataField="1" numFmtId="2" showAll="0"/>
    <pivotField showAll="0">
      <items count="6">
        <item x="1"/>
        <item x="2"/>
        <item x="3"/>
        <item x="0"/>
        <item x="4"/>
        <item t="default"/>
      </items>
    </pivotField>
    <pivotField numFmtId="1" showAll="0"/>
    <pivotField name="Health Status" axis="axisRow" showAll="0">
      <items count="3">
        <item x="1"/>
        <item x="0"/>
        <item t="default"/>
      </items>
    </pivotField>
    <pivotField showAll="0"/>
  </pivotFields>
  <rowFields count="1">
    <field x="11"/>
  </rowFields>
  <rowItems count="3">
    <i>
      <x/>
    </i>
    <i>
      <x v="1"/>
    </i>
    <i t="grand">
      <x/>
    </i>
  </rowItems>
  <colFields count="1">
    <field x="-2"/>
  </colFields>
  <colItems count="2">
    <i>
      <x/>
    </i>
    <i i="1">
      <x v="1"/>
    </i>
  </colItems>
  <dataFields count="2">
    <dataField name="Average of Daily_Sugar_Drinks" fld="7" subtotal="average" baseField="11" baseItem="0"/>
    <dataField name="Average of ScreenTime_Hours" fld="8" subtotal="average" baseField="11" baseItem="0"/>
  </dataFields>
  <formats count="1">
    <format dxfId="14">
      <pivotArea outline="0" collapsedLevelsAreSubtotals="1" fieldPosition="0"/>
    </format>
  </formats>
  <chartFormats count="8">
    <chartFormat chart="1"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1"/>
          </reference>
        </references>
      </pivotArea>
    </chartFormat>
    <chartFormat chart="2" format="2" series="1">
      <pivotArea type="data" outline="0" fieldPosition="0">
        <references count="1">
          <reference field="4294967294" count="1" selected="0">
            <x v="0"/>
          </reference>
        </references>
      </pivotArea>
    </chartFormat>
    <chartFormat chart="2" format="3" series="1">
      <pivotArea type="data" outline="0" fieldPosition="0">
        <references count="1">
          <reference field="4294967294" count="1" selected="0">
            <x v="1"/>
          </reference>
        </references>
      </pivotArea>
    </chartFormat>
    <chartFormat chart="6" format="10" series="1">
      <pivotArea type="data" outline="0" fieldPosition="0">
        <references count="1">
          <reference field="4294967294" count="1" selected="0">
            <x v="0"/>
          </reference>
        </references>
      </pivotArea>
    </chartFormat>
    <chartFormat chart="6" format="11" series="1">
      <pivotArea type="data" outline="0" fieldPosition="0">
        <references count="1">
          <reference field="4294967294" count="1" selected="0">
            <x v="1"/>
          </reference>
        </references>
      </pivotArea>
    </chartFormat>
    <chartFormat chart="8" format="14" series="1">
      <pivotArea type="data" outline="0" fieldPosition="0">
        <references count="1">
          <reference field="4294967294" count="1" selected="0">
            <x v="0"/>
          </reference>
        </references>
      </pivotArea>
    </chartFormat>
    <chartFormat chart="8" format="1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5.xml><?xml version="1.0" encoding="utf-8"?>
<pivotTableDefinition xmlns="http://schemas.openxmlformats.org/spreadsheetml/2006/main" name="PivotTable1" cacheId="3" applyNumberFormats="0" applyBorderFormats="0" applyFontFormats="0" applyPatternFormats="0" applyAlignmentFormats="0" applyWidthHeightFormats="1" dataCaption="Values" updatedVersion="4" minRefreshableVersion="3" useAutoFormatting="1" itemPrintTitles="1" createdVersion="4" indent="0" outline="1" outlineData="1" multipleFieldFilters="0" chartFormat="10" rowHeaderCaption="Region" colHeaderCaption=".">
  <location ref="F2:G8" firstHeaderRow="1" firstDataRow="1" firstDataCol="1"/>
  <pivotFields count="13">
    <pivotField showAll="0"/>
    <pivotField showAll="0">
      <items count="35">
        <item x="9"/>
        <item x="4"/>
        <item x="20"/>
        <item x="7"/>
        <item x="32"/>
        <item x="16"/>
        <item x="18"/>
        <item x="10"/>
        <item x="30"/>
        <item x="1"/>
        <item x="2"/>
        <item x="26"/>
        <item x="12"/>
        <item x="3"/>
        <item x="23"/>
        <item x="31"/>
        <item x="25"/>
        <item x="17"/>
        <item x="8"/>
        <item x="21"/>
        <item x="15"/>
        <item x="0"/>
        <item x="19"/>
        <item x="11"/>
        <item x="27"/>
        <item x="5"/>
        <item x="6"/>
        <item x="29"/>
        <item x="22"/>
        <item x="24"/>
        <item x="14"/>
        <item x="13"/>
        <item x="33"/>
        <item x="28"/>
        <item t="default"/>
      </items>
    </pivotField>
    <pivotField showAll="0"/>
    <pivotField numFmtId="2" showAll="0"/>
    <pivotField numFmtId="2" showAll="0"/>
    <pivotField numFmtId="1" showAll="0" includeNewItemsInFilter="1"/>
    <pivotField numFmtId="1" showAll="0"/>
    <pivotField numFmtId="1" showAll="0"/>
    <pivotField numFmtId="2" showAll="0"/>
    <pivotField axis="axisRow" showAll="0">
      <items count="6">
        <item x="1"/>
        <item x="2"/>
        <item x="3"/>
        <item x="0"/>
        <item x="4"/>
        <item t="default"/>
      </items>
    </pivotField>
    <pivotField dataField="1" numFmtId="1" showAll="0"/>
    <pivotField name="Health Status" showAll="0">
      <items count="3">
        <item x="1"/>
        <item x="0"/>
        <item t="default"/>
      </items>
    </pivotField>
    <pivotField showAll="0"/>
  </pivotFields>
  <rowFields count="1">
    <field x="9"/>
  </rowFields>
  <rowItems count="6">
    <i>
      <x/>
    </i>
    <i>
      <x v="1"/>
    </i>
    <i>
      <x v="2"/>
    </i>
    <i>
      <x v="3"/>
    </i>
    <i>
      <x v="4"/>
    </i>
    <i t="grand">
      <x/>
    </i>
  </rowItems>
  <colItems count="1">
    <i/>
  </colItems>
  <dataFields count="1">
    <dataField name="Average of BMI" fld="10" subtotal="average" baseField="9" baseItem="0"/>
  </dataFields>
  <formats count="1">
    <format dxfId="12">
      <pivotArea outline="0" collapsedLevelsAreSubtotals="1" fieldPosition="0"/>
    </format>
  </formats>
  <chartFormats count="2">
    <chartFormat chart="7" format="0" series="1">
      <pivotArea type="data" outline="0" fieldPosition="0">
        <references count="1">
          <reference field="4294967294" count="1" selected="0">
            <x v="0"/>
          </reference>
        </references>
      </pivotArea>
    </chartFormat>
    <chartFormat chart="9"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6.xml><?xml version="1.0" encoding="utf-8"?>
<pivotTableDefinition xmlns="http://schemas.openxmlformats.org/spreadsheetml/2006/main" name="NB" cacheId="3" applyNumberFormats="0" applyBorderFormats="0" applyFontFormats="0" applyPatternFormats="0" applyAlignmentFormats="0" applyWidthHeightFormats="1" dataCaption="Values" updatedVersion="4" minRefreshableVersion="3" showDrill="0" useAutoFormatting="1" rowGrandTotals="0" colGrandTotals="0" itemPrintTitles="1" createdVersion="4" indent="0" compact="0" compactData="0" multipleFieldFilters="0" chartFormat="1" rowHeaderCaption="Region" colHeaderCaption=".">
  <location ref="B2:D26" firstHeaderRow="1" firstDataRow="1" firstDataCol="2"/>
  <pivotFields count="13">
    <pivotField compact="0" outline="0" showAll="0">
      <extLst>
        <ext xmlns:x14="http://schemas.microsoft.com/office/spreadsheetml/2009/9/main" uri="{2946ED86-A175-432a-8AC1-64E0C546D7DE}">
          <x14:pivotField fillDownLabels="1"/>
        </ext>
      </extLst>
    </pivotField>
    <pivotField compact="0" outline="0" showAll="0">
      <items count="35">
        <item x="9"/>
        <item x="4"/>
        <item x="20"/>
        <item x="7"/>
        <item x="32"/>
        <item x="16"/>
        <item x="18"/>
        <item x="10"/>
        <item x="30"/>
        <item x="1"/>
        <item x="2"/>
        <item x="26"/>
        <item x="12"/>
        <item x="3"/>
        <item x="23"/>
        <item x="31"/>
        <item x="25"/>
        <item x="17"/>
        <item x="8"/>
        <item x="21"/>
        <item x="15"/>
        <item x="0"/>
        <item x="19"/>
        <item x="11"/>
        <item x="27"/>
        <item x="5"/>
        <item x="6"/>
        <item x="29"/>
        <item x="22"/>
        <item x="24"/>
        <item x="14"/>
        <item x="13"/>
        <item x="33"/>
        <item x="28"/>
        <item t="default"/>
      </items>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numFmtId="2" outline="0" showAll="0">
      <extLst>
        <ext xmlns:x14="http://schemas.microsoft.com/office/spreadsheetml/2009/9/main" uri="{2946ED86-A175-432a-8AC1-64E0C546D7DE}">
          <x14:pivotField fillDownLabels="1"/>
        </ext>
      </extLst>
    </pivotField>
    <pivotField compact="0" numFmtId="2" outline="0" showAll="0">
      <extLst>
        <ext xmlns:x14="http://schemas.microsoft.com/office/spreadsheetml/2009/9/main" uri="{2946ED86-A175-432a-8AC1-64E0C546D7DE}">
          <x14:pivotField fillDownLabels="1"/>
        </ext>
      </extLst>
    </pivotField>
    <pivotField name="Daily_Fruit_Servings/day" axis="axisRow" compact="0" numFmtId="1" outline="0" showAll="0" includeNewItemsInFilter="1" defaultSubtotal="0">
      <items count="5">
        <item x="1"/>
        <item x="0"/>
        <item x="3"/>
        <item x="2"/>
        <item x="4"/>
      </items>
      <extLst>
        <ext xmlns:x14="http://schemas.microsoft.com/office/spreadsheetml/2009/9/main" uri="{2946ED86-A175-432a-8AC1-64E0C546D7DE}">
          <x14:pivotField fillDownLabels="1"/>
        </ext>
      </extLst>
    </pivotField>
    <pivotField name="Daily_Veggie_Servings/day" axis="axisRow" compact="0" numFmtId="1" outline="0" showAll="0" defaultSubtotal="0">
      <items count="5">
        <item x="3"/>
        <item x="1"/>
        <item x="0"/>
        <item x="2"/>
        <item x="4"/>
      </items>
      <extLst>
        <ext xmlns:x14="http://schemas.microsoft.com/office/spreadsheetml/2009/9/main" uri="{2946ED86-A175-432a-8AC1-64E0C546D7DE}">
          <x14:pivotField fillDownLabels="1"/>
        </ext>
      </extLst>
    </pivotField>
    <pivotField compact="0" numFmtId="1" outline="0" showAll="0">
      <extLst>
        <ext xmlns:x14="http://schemas.microsoft.com/office/spreadsheetml/2009/9/main" uri="{2946ED86-A175-432a-8AC1-64E0C546D7DE}">
          <x14:pivotField fillDownLabels="1"/>
        </ext>
      </extLst>
    </pivotField>
    <pivotField compact="0" numFmtId="2" outline="0" showAll="0">
      <extLst>
        <ext xmlns:x14="http://schemas.microsoft.com/office/spreadsheetml/2009/9/main" uri="{2946ED86-A175-432a-8AC1-64E0C546D7DE}">
          <x14:pivotField fillDownLabels="1"/>
        </ext>
      </extLst>
    </pivotField>
    <pivotField compact="0" outline="0" showAll="0">
      <items count="6">
        <item x="1"/>
        <item x="2"/>
        <item x="3"/>
        <item x="0"/>
        <item x="4"/>
        <item t="default"/>
      </items>
      <extLst>
        <ext xmlns:x14="http://schemas.microsoft.com/office/spreadsheetml/2009/9/main" uri="{2946ED86-A175-432a-8AC1-64E0C546D7DE}">
          <x14:pivotField fillDownLabels="1"/>
        </ext>
      </extLst>
    </pivotField>
    <pivotField dataField="1" compact="0" numFmtId="1" outline="0" showAll="0" countASubtotal="1" avgSubtotal="1">
      <extLst>
        <ext xmlns:x14="http://schemas.microsoft.com/office/spreadsheetml/2009/9/main" uri="{2946ED86-A175-432a-8AC1-64E0C546D7DE}">
          <x14:pivotField fillDownLabels="1"/>
        </ext>
      </extLst>
    </pivotField>
    <pivotField name="Health Status"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s>
  <rowFields count="2">
    <field x="5"/>
    <field x="6"/>
  </rowFields>
  <rowItems count="24">
    <i>
      <x/>
      <x/>
    </i>
    <i r="1">
      <x v="1"/>
    </i>
    <i r="1">
      <x v="2"/>
    </i>
    <i r="1">
      <x v="3"/>
    </i>
    <i r="1">
      <x v="4"/>
    </i>
    <i>
      <x v="1"/>
      <x/>
    </i>
    <i r="1">
      <x v="1"/>
    </i>
    <i r="1">
      <x v="2"/>
    </i>
    <i r="1">
      <x v="3"/>
    </i>
    <i r="1">
      <x v="4"/>
    </i>
    <i>
      <x v="2"/>
      <x/>
    </i>
    <i r="1">
      <x v="1"/>
    </i>
    <i r="1">
      <x v="2"/>
    </i>
    <i r="1">
      <x v="4"/>
    </i>
    <i>
      <x v="3"/>
      <x/>
    </i>
    <i r="1">
      <x v="1"/>
    </i>
    <i r="1">
      <x v="2"/>
    </i>
    <i r="1">
      <x v="3"/>
    </i>
    <i r="1">
      <x v="4"/>
    </i>
    <i>
      <x v="4"/>
      <x/>
    </i>
    <i r="1">
      <x v="1"/>
    </i>
    <i r="1">
      <x v="2"/>
    </i>
    <i r="1">
      <x v="3"/>
    </i>
    <i r="1">
      <x v="4"/>
    </i>
  </rowItems>
  <colItems count="1">
    <i/>
  </colItems>
  <dataFields count="1">
    <dataField name="Average of BMI" fld="10" subtotal="average" baseField="5" baseItem="0" numFmtId="2"/>
  </dataFields>
  <formats count="1">
    <format dxfId="13">
      <pivotArea outline="0" collapsedLevelsAreSubtotals="1" fieldPosition="0"/>
    </format>
  </formats>
  <pivotTableStyleInfo name="PivotStyleLight16" showRowHeaders="1" showColHeaders="1" showRowStripes="1" showColStripes="0" showLastColumn="1"/>
  <extLst>
    <ext xmlns:x14="http://schemas.microsoft.com/office/spreadsheetml/2009/9/main" uri="{962EF5D1-5CA2-4c93-8EF4-DBF5C05439D2}">
      <x14:pivotTableDefinition xmlns:xm="http://schemas.microsoft.com/office/excel/2006/main" fillDownLabelsDefault="1" hideValuesRow="1"/>
    </ext>
  </extLst>
</pivotTableDefinition>
</file>

<file path=xl/pivotTables/pivotTable7.xml><?xml version="1.0" encoding="utf-8"?>
<pivotTableDefinition xmlns="http://schemas.openxmlformats.org/spreadsheetml/2006/main" name="HSA" cacheId="3" applyNumberFormats="0" applyBorderFormats="0" applyFontFormats="0" applyPatternFormats="0" applyAlignmentFormats="0" applyWidthHeightFormats="1" dataCaption="Values" updatedVersion="4" minRefreshableVersion="3" useAutoFormatting="1" colGrandTotals="0" itemPrintTitles="1" createdVersion="4" indent="0" outline="1" outlineData="1" multipleFieldFilters="0" chartFormat="3" rowHeaderCaption="Age Group" colHeaderCaption=".">
  <location ref="A2:C7" firstHeaderRow="1" firstDataRow="2" firstDataCol="1"/>
  <pivotFields count="13">
    <pivotField showAll="0"/>
    <pivotField showAll="0">
      <items count="35">
        <item x="9"/>
        <item x="4"/>
        <item x="20"/>
        <item x="7"/>
        <item x="32"/>
        <item x="16"/>
        <item x="18"/>
        <item x="10"/>
        <item x="30"/>
        <item x="1"/>
        <item x="2"/>
        <item x="26"/>
        <item x="12"/>
        <item x="3"/>
        <item x="23"/>
        <item x="31"/>
        <item x="25"/>
        <item x="17"/>
        <item x="8"/>
        <item x="21"/>
        <item x="15"/>
        <item x="0"/>
        <item x="19"/>
        <item x="11"/>
        <item x="27"/>
        <item x="5"/>
        <item x="6"/>
        <item x="29"/>
        <item x="22"/>
        <item x="24"/>
        <item x="14"/>
        <item x="13"/>
        <item x="33"/>
        <item x="28"/>
        <item t="default"/>
      </items>
    </pivotField>
    <pivotField showAll="0"/>
    <pivotField numFmtId="2" showAll="0"/>
    <pivotField numFmtId="2" showAll="0"/>
    <pivotField numFmtId="1" showAll="0"/>
    <pivotField numFmtId="1" showAll="0"/>
    <pivotField numFmtId="1" showAll="0"/>
    <pivotField numFmtId="2" showAll="0"/>
    <pivotField showAll="0"/>
    <pivotField numFmtId="1" showAll="0"/>
    <pivotField name="Health Status" axis="axisCol" dataField="1" showAll="0">
      <items count="3">
        <item x="1"/>
        <item x="0"/>
        <item t="default"/>
      </items>
    </pivotField>
    <pivotField axis="axisRow" showAll="0">
      <items count="6">
        <item x="1"/>
        <item m="1" x="3"/>
        <item m="1" x="4"/>
        <item x="0"/>
        <item x="2"/>
        <item t="default"/>
      </items>
    </pivotField>
  </pivotFields>
  <rowFields count="1">
    <field x="12"/>
  </rowFields>
  <rowItems count="4">
    <i>
      <x/>
    </i>
    <i>
      <x v="3"/>
    </i>
    <i>
      <x v="4"/>
    </i>
    <i t="grand">
      <x/>
    </i>
  </rowItems>
  <colFields count="1">
    <field x="11"/>
  </colFields>
  <colItems count="2">
    <i>
      <x/>
    </i>
    <i>
      <x v="1"/>
    </i>
  </colItems>
  <dataFields count="1">
    <dataField name="." fld="11" subtotal="count" baseField="0" baseItem="0"/>
  </dataFields>
  <chartFormats count="8">
    <chartFormat chart="0" format="3" series="1">
      <pivotArea type="data" outline="0" fieldPosition="0">
        <references count="2">
          <reference field="4294967294" count="1" selected="0">
            <x v="0"/>
          </reference>
          <reference field="11" count="1" selected="0">
            <x v="0"/>
          </reference>
        </references>
      </pivotArea>
    </chartFormat>
    <chartFormat chart="0" format="4" series="1">
      <pivotArea type="data" outline="0" fieldPosition="0">
        <references count="2">
          <reference field="4294967294" count="1" selected="0">
            <x v="0"/>
          </reference>
          <reference field="11" count="1" selected="0">
            <x v="1"/>
          </reference>
        </references>
      </pivotArea>
    </chartFormat>
    <chartFormat chart="0" format="5">
      <pivotArea type="data" outline="0" fieldPosition="0">
        <references count="3">
          <reference field="4294967294" count="1" selected="0">
            <x v="0"/>
          </reference>
          <reference field="11" count="1" selected="0">
            <x v="0"/>
          </reference>
          <reference field="12" count="1" selected="0">
            <x v="2"/>
          </reference>
        </references>
      </pivotArea>
    </chartFormat>
    <chartFormat chart="0" format="6">
      <pivotArea type="data" outline="0" fieldPosition="0">
        <references count="3">
          <reference field="4294967294" count="1" selected="0">
            <x v="0"/>
          </reference>
          <reference field="11" count="1" selected="0">
            <x v="1"/>
          </reference>
          <reference field="12" count="1" selected="0">
            <x v="2"/>
          </reference>
        </references>
      </pivotArea>
    </chartFormat>
    <chartFormat chart="2" format="9" series="1">
      <pivotArea type="data" outline="0" fieldPosition="0">
        <references count="2">
          <reference field="4294967294" count="1" selected="0">
            <x v="0"/>
          </reference>
          <reference field="11" count="1" selected="0">
            <x v="0"/>
          </reference>
        </references>
      </pivotArea>
    </chartFormat>
    <chartFormat chart="2" format="10" series="1">
      <pivotArea type="data" outline="0" fieldPosition="0">
        <references count="2">
          <reference field="4294967294" count="1" selected="0">
            <x v="0"/>
          </reference>
          <reference field="11" count="1" selected="0">
            <x v="1"/>
          </reference>
        </references>
      </pivotArea>
    </chartFormat>
    <chartFormat chart="2" format="11" series="1">
      <pivotArea type="data" outline="0" fieldPosition="0">
        <references count="1">
          <reference field="4294967294" count="1" selected="0">
            <x v="0"/>
          </reference>
        </references>
      </pivotArea>
    </chartFormat>
    <chartFormat chart="0" format="7"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mc:Ignorable="x" name="Slicer_Region1" sourceName="Region">
  <pivotTables>
    <pivotTable tabId="4" name="NB"/>
    <pivotTable tabId="5" name="SSA"/>
    <pivotTable tabId="6" name="RDBMI"/>
    <pivotTable tabId="4" name="PivotTable1"/>
    <pivotTable tabId="8" name="PivotTable2"/>
    <pivotTable tabId="8" name="PivotTable3"/>
  </pivotTables>
  <data>
    <tabular pivotCacheId="1">
      <items count="5">
        <i x="1" s="1"/>
        <i x="2" s="1"/>
        <i x="3" s="1"/>
        <i x="0" s="1"/>
        <i x="4"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mc:Ignorable="x" name="Slicer_Age_Months" sourceName="Age_Months">
  <pivotTables>
    <pivotTable tabId="8" name="PivotTable2"/>
    <pivotTable tabId="8" name="PivotTable3"/>
    <pivotTable tabId="3" name="HSA"/>
    <pivotTable tabId="4" name="NB"/>
    <pivotTable tabId="4" name="PivotTable1"/>
    <pivotTable tabId="6" name="RDBMI"/>
    <pivotTable tabId="5" name="SSA"/>
  </pivotTables>
  <data>
    <tabular pivotCacheId="1">
      <items count="34">
        <i x="9" s="1"/>
        <i x="4" s="1"/>
        <i x="20" s="1"/>
        <i x="7" s="1"/>
        <i x="32" s="1"/>
        <i x="16" s="1"/>
        <i x="18" s="1"/>
        <i x="10" s="1"/>
        <i x="30" s="1"/>
        <i x="1" s="1"/>
        <i x="2" s="1"/>
        <i x="26" s="1"/>
        <i x="12" s="1"/>
        <i x="3" s="1"/>
        <i x="23" s="1"/>
        <i x="31" s="1"/>
        <i x="25" s="1"/>
        <i x="17" s="1"/>
        <i x="8" s="1"/>
        <i x="21" s="1"/>
        <i x="15" s="1"/>
        <i x="0" s="1"/>
        <i x="19" s="1"/>
        <i x="11" s="1"/>
        <i x="27" s="1"/>
        <i x="5" s="1"/>
        <i x="6" s="1"/>
        <i x="29" s="1"/>
        <i x="22" s="1"/>
        <i x="24" s="1"/>
        <i x="14" s="1"/>
        <i x="13" s="1"/>
        <i x="33" s="1"/>
        <i x="28"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mc:Ignorable="x" name="Slicer_Gender" sourceName="Gender">
  <pivotTables>
    <pivotTable tabId="8" name="PivotTable2"/>
  </pivotTables>
  <data>
    <tabular pivotCacheId="1">
      <items count="2">
        <i x="0"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mc:Ignorable="x">
  <slicer name="Region" cache="Slicer_Region1" caption="Region" rowHeight="234950"/>
  <slicer name="Age_Months" cache="Slicer_Age_Months" caption="Age_Months" columnCount="6" rowHeight="234950"/>
  <slicer name="Gender" cache="Slicer_Gender" caption="Gender" rowHeight="216000"/>
</slicers>
</file>

<file path=xl/slicers/slicer2.xml><?xml version="1.0" encoding="utf-8"?>
<slicers xmlns="http://schemas.microsoft.com/office/spreadsheetml/2009/9/main" xmlns:mc="http://schemas.openxmlformats.org/markup-compatibility/2006" xmlns:x="http://schemas.openxmlformats.org/spreadsheetml/2006/main" mc:Ignorable="x">
  <slicer name="Region 1" cache="Slicer_Region1" caption="Region" rowHeight="234950"/>
</slicers>
</file>

<file path=xl/tables/table1.xml><?xml version="1.0" encoding="utf-8"?>
<table xmlns="http://schemas.openxmlformats.org/spreadsheetml/2006/main" id="1" name="CH" displayName="CH" ref="A1:M101" totalsRowShown="0">
  <autoFilter ref="A1:M101"/>
  <tableColumns count="13">
    <tableColumn id="1" name="ChildID"/>
    <tableColumn id="2" name="Age_Months"/>
    <tableColumn id="3" name="Gender"/>
    <tableColumn id="4" name="Height_cm" dataDxfId="11"/>
    <tableColumn id="5" name="Weight_kg" dataDxfId="10"/>
    <tableColumn id="6" name="Daily_Fruit_Servings" dataDxfId="9"/>
    <tableColumn id="7" name="Daily_Veggie_Servings" dataDxfId="8"/>
    <tableColumn id="8" name="Daily_Sugar_Drinks" dataDxfId="7"/>
    <tableColumn id="9" name="ScreenTime_Hours" dataDxfId="6"/>
    <tableColumn id="10" name="Region"/>
    <tableColumn id="11" name="1. BMI" dataDxfId="5">
      <calculatedColumnFormula>CH[[#This Row],[Weight_kg]]/(CH[[#This Row],[Height_cm]]/100)^2</calculatedColumnFormula>
    </tableColumn>
    <tableColumn id="12" name="1. Health Status" dataDxfId="4">
      <calculatedColumnFormula>IF(CH[[#This Row],[1. BMI]]&lt;18,"Underweight",IF(CH[[#This Row],[1. BMI]]&lt;24.9,"Healthy Weight",IF(CH[[#This Row],[1. BMI]]&lt;29.9,"Overweight",IF(CH[[#This Row],[1. BMI]]&gt;=30,"obese","Overweight"))))</calculatedColumnFormula>
    </tableColumn>
    <tableColumn id="13" name="Age Group" dataDxfId="3">
      <calculatedColumnFormula>IF(CH[[#This Row],[Age_Months]]&lt;=36,"24-36 Months",IF(CH[[#This Row],[Age_Months]]&lt;=48,"37-48 Months",IF(CH[[#This Row],[Age_Months]]&gt;48,"49-60 Months","37-48 Months")))</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ivotTable" Target="../pivotTables/pivotTable2.xml"/><Relationship Id="rId1" Type="http://schemas.openxmlformats.org/officeDocument/2006/relationships/pivotTable" Target="../pivotTables/pivotTable1.xml"/><Relationship Id="rId4" Type="http://schemas.microsoft.com/office/2007/relationships/slicer" Target="../slicers/slicer1.xml"/></Relationships>
</file>

<file path=xl/worksheets/_rels/sheet4.xml.rels><?xml version="1.0" encoding="UTF-8" standalone="yes"?>
<Relationships xmlns="http://schemas.openxmlformats.org/package/2006/relationships"><Relationship Id="rId1" Type="http://schemas.openxmlformats.org/officeDocument/2006/relationships/pivotTable" Target="../pivotTables/pivotTable3.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4.xml"/></Relationships>
</file>

<file path=xl/worksheets/_rels/sheet6.xml.rels><?xml version="1.0" encoding="UTF-8" standalone="yes"?>
<Relationships xmlns="http://schemas.openxmlformats.org/package/2006/relationships"><Relationship Id="rId3" Type="http://schemas.openxmlformats.org/officeDocument/2006/relationships/drawing" Target="../drawings/drawing3.xml"/><Relationship Id="rId2" Type="http://schemas.openxmlformats.org/officeDocument/2006/relationships/pivotTable" Target="../pivotTables/pivotTable6.xml"/><Relationship Id="rId1" Type="http://schemas.openxmlformats.org/officeDocument/2006/relationships/pivotTable" Target="../pivotTables/pivotTable5.xml"/><Relationship Id="rId4" Type="http://schemas.microsoft.com/office/2007/relationships/slicer" Target="../slicers/slicer2.xml"/></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7.xml"/></Relationships>
</file>

<file path=xl/worksheets/_rels/sheet8.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1:Y29"/>
  <sheetViews>
    <sheetView showGridLines="0" tabSelected="1" topLeftCell="A2" zoomScale="110" zoomScaleNormal="110" workbookViewId="0">
      <selection activeCell="S8" sqref="S8"/>
    </sheetView>
  </sheetViews>
  <sheetFormatPr defaultRowHeight="14.4" x14ac:dyDescent="0.3"/>
  <cols>
    <col min="22" max="22" width="14.33203125" customWidth="1"/>
    <col min="23" max="23" width="12.88671875" customWidth="1"/>
    <col min="24" max="24" width="27.109375" customWidth="1"/>
    <col min="25" max="25" width="26.6640625" bestFit="1" customWidth="1"/>
  </cols>
  <sheetData>
    <row r="1" spans="2:25" ht="15" thickBot="1" x14ac:dyDescent="0.35"/>
    <row r="2" spans="2:25" x14ac:dyDescent="0.3">
      <c r="B2" s="26" t="s">
        <v>150</v>
      </c>
      <c r="C2" s="27"/>
      <c r="D2" s="27"/>
      <c r="E2" s="27"/>
      <c r="F2" s="27"/>
      <c r="G2" s="27"/>
      <c r="H2" s="27"/>
      <c r="I2" s="27"/>
      <c r="J2" s="27"/>
      <c r="K2" s="27"/>
      <c r="L2" s="27"/>
      <c r="M2" s="27"/>
      <c r="N2" s="27"/>
      <c r="O2" s="28"/>
      <c r="V2" t="s">
        <v>151</v>
      </c>
      <c r="W2" t="s">
        <v>153</v>
      </c>
      <c r="X2" t="s">
        <v>127</v>
      </c>
      <c r="Y2" t="s">
        <v>128</v>
      </c>
    </row>
    <row r="3" spans="2:25" x14ac:dyDescent="0.3">
      <c r="B3" s="29"/>
      <c r="C3" s="20"/>
      <c r="D3" s="20"/>
      <c r="E3" s="20"/>
      <c r="F3" s="20"/>
      <c r="G3" s="20"/>
      <c r="H3" s="20"/>
      <c r="I3" s="20"/>
      <c r="J3" s="20"/>
      <c r="K3" s="20"/>
      <c r="L3" s="20"/>
      <c r="M3" s="20"/>
      <c r="N3" s="20"/>
      <c r="O3" s="30"/>
      <c r="V3" s="1">
        <v>100</v>
      </c>
      <c r="W3" s="1">
        <v>17.05804960612538</v>
      </c>
      <c r="X3" s="1">
        <v>1.37</v>
      </c>
      <c r="Y3" s="1">
        <v>1.3919999999999997</v>
      </c>
    </row>
    <row r="4" spans="2:25" x14ac:dyDescent="0.3">
      <c r="B4" s="31"/>
      <c r="C4" s="32"/>
      <c r="D4" s="32"/>
      <c r="E4" s="32"/>
      <c r="F4" s="32"/>
      <c r="G4" s="32"/>
      <c r="H4" s="32"/>
      <c r="I4" s="32"/>
      <c r="J4" s="32"/>
      <c r="K4" s="32"/>
      <c r="L4" s="32"/>
      <c r="M4" s="32"/>
      <c r="N4" s="32"/>
      <c r="O4" s="33"/>
    </row>
    <row r="5" spans="2:25" x14ac:dyDescent="0.3">
      <c r="B5" s="34" t="s">
        <v>145</v>
      </c>
      <c r="C5" s="16"/>
      <c r="D5" s="17" t="s">
        <v>146</v>
      </c>
      <c r="E5" s="17"/>
      <c r="F5" s="17" t="s">
        <v>147</v>
      </c>
      <c r="G5" s="17"/>
      <c r="H5" s="18" t="s">
        <v>148</v>
      </c>
      <c r="I5" s="18"/>
      <c r="J5" s="19" t="s">
        <v>149</v>
      </c>
      <c r="K5" s="19"/>
      <c r="L5" s="32"/>
      <c r="M5" s="32"/>
      <c r="N5" s="32"/>
      <c r="O5" s="33"/>
      <c r="V5" s="2">
        <f>V3</f>
        <v>100</v>
      </c>
      <c r="W5" s="1">
        <f>W3</f>
        <v>17.05804960612538</v>
      </c>
      <c r="X5" s="1">
        <f>X3</f>
        <v>1.37</v>
      </c>
      <c r="Y5" s="1">
        <f>Y3</f>
        <v>1.3919999999999997</v>
      </c>
    </row>
    <row r="6" spans="2:25" ht="23.4" thickBot="1" x14ac:dyDescent="0.35">
      <c r="B6" s="35">
        <f>Dashboard!V5</f>
        <v>100</v>
      </c>
      <c r="C6" s="12"/>
      <c r="D6" s="21">
        <f>Dashboard!W5</f>
        <v>17.05804960612538</v>
      </c>
      <c r="E6" s="13"/>
      <c r="F6" s="25">
        <f>X8</f>
        <v>0.38264677437996086</v>
      </c>
      <c r="G6" s="13"/>
      <c r="H6" s="22">
        <f>Dashboard!X5</f>
        <v>1.37</v>
      </c>
      <c r="I6" s="14"/>
      <c r="J6" s="23">
        <f>Dashboard!Y5</f>
        <v>1.3919999999999997</v>
      </c>
      <c r="K6" s="15"/>
      <c r="L6" s="32"/>
      <c r="M6" s="32"/>
      <c r="N6" s="32"/>
      <c r="O6" s="33"/>
    </row>
    <row r="7" spans="2:25" ht="15" thickTop="1" x14ac:dyDescent="0.3">
      <c r="B7" s="31"/>
      <c r="C7" s="32"/>
      <c r="D7" s="32"/>
      <c r="E7" s="32"/>
      <c r="F7" s="32"/>
      <c r="G7" s="32"/>
      <c r="H7" s="32"/>
      <c r="I7" s="32"/>
      <c r="J7" s="32"/>
      <c r="K7" s="32"/>
      <c r="L7" s="32"/>
      <c r="M7" s="32"/>
      <c r="N7" s="32"/>
      <c r="O7" s="33"/>
      <c r="V7" s="4" t="s">
        <v>117</v>
      </c>
      <c r="W7" t="s">
        <v>152</v>
      </c>
    </row>
    <row r="8" spans="2:25" x14ac:dyDescent="0.3">
      <c r="B8" s="31"/>
      <c r="C8" s="32"/>
      <c r="D8" s="32"/>
      <c r="E8" s="32"/>
      <c r="F8" s="32"/>
      <c r="G8" s="32"/>
      <c r="H8" s="32"/>
      <c r="I8" s="32"/>
      <c r="J8" s="32"/>
      <c r="K8" s="32"/>
      <c r="L8" s="32"/>
      <c r="M8" s="32"/>
      <c r="N8" s="32"/>
      <c r="O8" s="33"/>
      <c r="V8" t="s">
        <v>121</v>
      </c>
      <c r="W8" s="24">
        <v>0.38264677437996086</v>
      </c>
      <c r="X8" s="24">
        <f>W8</f>
        <v>0.38264677437996086</v>
      </c>
    </row>
    <row r="9" spans="2:25" x14ac:dyDescent="0.3">
      <c r="B9" s="31"/>
      <c r="C9" s="32"/>
      <c r="D9" s="32"/>
      <c r="E9" s="32"/>
      <c r="F9" s="32"/>
      <c r="G9" s="32"/>
      <c r="H9" s="32"/>
      <c r="I9" s="32"/>
      <c r="J9" s="32"/>
      <c r="K9" s="32"/>
      <c r="L9" s="32"/>
      <c r="M9" s="32"/>
      <c r="N9" s="32"/>
      <c r="O9" s="33"/>
      <c r="V9" t="s">
        <v>122</v>
      </c>
      <c r="W9" s="24">
        <v>0.61735322562003925</v>
      </c>
    </row>
    <row r="10" spans="2:25" x14ac:dyDescent="0.3">
      <c r="B10" s="31"/>
      <c r="C10" s="32"/>
      <c r="D10" s="32"/>
      <c r="E10" s="32"/>
      <c r="F10" s="32"/>
      <c r="G10" s="32"/>
      <c r="H10" s="32"/>
      <c r="I10" s="32"/>
      <c r="J10" s="32"/>
      <c r="K10" s="32"/>
      <c r="L10" s="32"/>
      <c r="M10" s="32"/>
      <c r="N10" s="32"/>
      <c r="O10" s="33"/>
      <c r="V10" t="s">
        <v>123</v>
      </c>
      <c r="W10" s="24">
        <v>1</v>
      </c>
    </row>
    <row r="11" spans="2:25" x14ac:dyDescent="0.3">
      <c r="B11" s="31"/>
      <c r="C11" s="32"/>
      <c r="D11" s="32"/>
      <c r="E11" s="32"/>
      <c r="F11" s="32"/>
      <c r="G11" s="32"/>
      <c r="H11" s="32"/>
      <c r="I11" s="32"/>
      <c r="J11" s="32"/>
      <c r="K11" s="32"/>
      <c r="L11" s="32"/>
      <c r="M11" s="32"/>
      <c r="N11" s="32"/>
      <c r="O11" s="33"/>
    </row>
    <row r="12" spans="2:25" x14ac:dyDescent="0.3">
      <c r="B12" s="31"/>
      <c r="C12" s="32"/>
      <c r="D12" s="32"/>
      <c r="E12" s="32"/>
      <c r="F12" s="32"/>
      <c r="G12" s="32"/>
      <c r="H12" s="32"/>
      <c r="I12" s="32"/>
      <c r="J12" s="32"/>
      <c r="K12" s="32"/>
      <c r="L12" s="32"/>
      <c r="M12" s="32"/>
      <c r="N12" s="32"/>
      <c r="O12" s="33"/>
    </row>
    <row r="13" spans="2:25" x14ac:dyDescent="0.3">
      <c r="B13" s="31"/>
      <c r="C13" s="32"/>
      <c r="D13" s="32"/>
      <c r="E13" s="32"/>
      <c r="F13" s="32"/>
      <c r="G13" s="32"/>
      <c r="H13" s="32"/>
      <c r="I13" s="32"/>
      <c r="J13" s="32"/>
      <c r="K13" s="32"/>
      <c r="L13" s="32"/>
      <c r="M13" s="32"/>
      <c r="N13" s="32"/>
      <c r="O13" s="33"/>
    </row>
    <row r="14" spans="2:25" x14ac:dyDescent="0.3">
      <c r="B14" s="31"/>
      <c r="C14" s="32"/>
      <c r="D14" s="32"/>
      <c r="E14" s="32"/>
      <c r="F14" s="32"/>
      <c r="G14" s="32"/>
      <c r="H14" s="32"/>
      <c r="I14" s="32"/>
      <c r="J14" s="32"/>
      <c r="K14" s="32"/>
      <c r="L14" s="32"/>
      <c r="M14" s="32"/>
      <c r="N14" s="32"/>
      <c r="O14" s="33"/>
    </row>
    <row r="15" spans="2:25" x14ac:dyDescent="0.3">
      <c r="B15" s="31"/>
      <c r="C15" s="32"/>
      <c r="D15" s="32"/>
      <c r="E15" s="32"/>
      <c r="F15" s="32"/>
      <c r="G15" s="32"/>
      <c r="H15" s="32"/>
      <c r="I15" s="32"/>
      <c r="J15" s="32"/>
      <c r="K15" s="32"/>
      <c r="L15" s="32"/>
      <c r="M15" s="32"/>
      <c r="N15" s="32"/>
      <c r="O15" s="33"/>
    </row>
    <row r="16" spans="2:25" x14ac:dyDescent="0.3">
      <c r="B16" s="31"/>
      <c r="C16" s="32"/>
      <c r="D16" s="32"/>
      <c r="E16" s="32"/>
      <c r="F16" s="32"/>
      <c r="G16" s="32"/>
      <c r="H16" s="32"/>
      <c r="I16" s="32"/>
      <c r="J16" s="32"/>
      <c r="K16" s="32"/>
      <c r="L16" s="32"/>
      <c r="M16" s="32"/>
      <c r="N16" s="32"/>
      <c r="O16" s="33"/>
    </row>
    <row r="17" spans="2:15" x14ac:dyDescent="0.3">
      <c r="B17" s="31"/>
      <c r="C17" s="32"/>
      <c r="D17" s="32"/>
      <c r="E17" s="32"/>
      <c r="F17" s="32"/>
      <c r="G17" s="32"/>
      <c r="H17" s="32"/>
      <c r="I17" s="32"/>
      <c r="J17" s="32"/>
      <c r="K17" s="32"/>
      <c r="L17" s="32"/>
      <c r="M17" s="32"/>
      <c r="N17" s="32"/>
      <c r="O17" s="33"/>
    </row>
    <row r="18" spans="2:15" x14ac:dyDescent="0.3">
      <c r="B18" s="31"/>
      <c r="C18" s="32"/>
      <c r="D18" s="32"/>
      <c r="E18" s="32"/>
      <c r="F18" s="32"/>
      <c r="G18" s="32"/>
      <c r="H18" s="32"/>
      <c r="I18" s="32"/>
      <c r="J18" s="32"/>
      <c r="K18" s="32"/>
      <c r="L18" s="32"/>
      <c r="M18" s="32"/>
      <c r="N18" s="32"/>
      <c r="O18" s="33"/>
    </row>
    <row r="19" spans="2:15" x14ac:dyDescent="0.3">
      <c r="B19" s="31"/>
      <c r="C19" s="32"/>
      <c r="D19" s="32"/>
      <c r="E19" s="32"/>
      <c r="F19" s="32"/>
      <c r="G19" s="32"/>
      <c r="H19" s="32"/>
      <c r="I19" s="32"/>
      <c r="J19" s="32"/>
      <c r="K19" s="32"/>
      <c r="L19" s="32"/>
      <c r="M19" s="32"/>
      <c r="N19" s="32"/>
      <c r="O19" s="33"/>
    </row>
    <row r="20" spans="2:15" x14ac:dyDescent="0.3">
      <c r="B20" s="31"/>
      <c r="C20" s="32"/>
      <c r="D20" s="32"/>
      <c r="E20" s="32"/>
      <c r="F20" s="32"/>
      <c r="G20" s="32"/>
      <c r="H20" s="32"/>
      <c r="I20" s="32"/>
      <c r="J20" s="32"/>
      <c r="K20" s="32"/>
      <c r="L20" s="32"/>
      <c r="M20" s="32"/>
      <c r="N20" s="32"/>
      <c r="O20" s="33"/>
    </row>
    <row r="21" spans="2:15" x14ac:dyDescent="0.3">
      <c r="B21" s="31"/>
      <c r="C21" s="32"/>
      <c r="D21" s="32"/>
      <c r="E21" s="32"/>
      <c r="F21" s="32"/>
      <c r="G21" s="32"/>
      <c r="H21" s="32"/>
      <c r="I21" s="32"/>
      <c r="J21" s="32"/>
      <c r="K21" s="32"/>
      <c r="L21" s="32"/>
      <c r="M21" s="32"/>
      <c r="N21" s="32"/>
      <c r="O21" s="33"/>
    </row>
    <row r="22" spans="2:15" x14ac:dyDescent="0.3">
      <c r="B22" s="31"/>
      <c r="C22" s="32"/>
      <c r="D22" s="32"/>
      <c r="E22" s="32"/>
      <c r="F22" s="32"/>
      <c r="G22" s="32"/>
      <c r="H22" s="32"/>
      <c r="I22" s="32"/>
      <c r="J22" s="32"/>
      <c r="K22" s="32"/>
      <c r="L22" s="32"/>
      <c r="M22" s="32"/>
      <c r="N22" s="32"/>
      <c r="O22" s="33"/>
    </row>
    <row r="23" spans="2:15" x14ac:dyDescent="0.3">
      <c r="B23" s="31"/>
      <c r="C23" s="32"/>
      <c r="D23" s="32"/>
      <c r="E23" s="32"/>
      <c r="F23" s="32"/>
      <c r="G23" s="32"/>
      <c r="H23" s="32"/>
      <c r="I23" s="32"/>
      <c r="J23" s="32"/>
      <c r="K23" s="32"/>
      <c r="L23" s="32"/>
      <c r="M23" s="32"/>
      <c r="N23" s="32"/>
      <c r="O23" s="33"/>
    </row>
    <row r="24" spans="2:15" x14ac:dyDescent="0.3">
      <c r="B24" s="31"/>
      <c r="C24" s="32"/>
      <c r="D24" s="32"/>
      <c r="E24" s="32"/>
      <c r="F24" s="32"/>
      <c r="G24" s="32"/>
      <c r="H24" s="32"/>
      <c r="I24" s="32"/>
      <c r="J24" s="32"/>
      <c r="K24" s="32"/>
      <c r="L24" s="32"/>
      <c r="M24" s="32"/>
      <c r="N24" s="32"/>
      <c r="O24" s="33"/>
    </row>
    <row r="25" spans="2:15" x14ac:dyDescent="0.3">
      <c r="B25" s="31"/>
      <c r="C25" s="32"/>
      <c r="D25" s="32"/>
      <c r="E25" s="32"/>
      <c r="F25" s="32"/>
      <c r="G25" s="32"/>
      <c r="H25" s="32"/>
      <c r="I25" s="32"/>
      <c r="J25" s="32"/>
      <c r="K25" s="32"/>
      <c r="L25" s="32"/>
      <c r="M25" s="32"/>
      <c r="N25" s="32"/>
      <c r="O25" s="33"/>
    </row>
    <row r="26" spans="2:15" x14ac:dyDescent="0.3">
      <c r="B26" s="31"/>
      <c r="C26" s="32"/>
      <c r="D26" s="32"/>
      <c r="E26" s="32"/>
      <c r="F26" s="32"/>
      <c r="G26" s="32"/>
      <c r="H26" s="32"/>
      <c r="I26" s="32"/>
      <c r="J26" s="32"/>
      <c r="K26" s="32"/>
      <c r="L26" s="32"/>
      <c r="M26" s="32"/>
      <c r="N26" s="32"/>
      <c r="O26" s="33"/>
    </row>
    <row r="27" spans="2:15" x14ac:dyDescent="0.3">
      <c r="B27" s="31"/>
      <c r="C27" s="32"/>
      <c r="D27" s="32"/>
      <c r="E27" s="32"/>
      <c r="F27" s="32"/>
      <c r="G27" s="32"/>
      <c r="H27" s="32"/>
      <c r="I27" s="32"/>
      <c r="J27" s="32"/>
      <c r="K27" s="32"/>
      <c r="L27" s="32"/>
      <c r="M27" s="32"/>
      <c r="N27" s="32"/>
      <c r="O27" s="33"/>
    </row>
    <row r="28" spans="2:15" x14ac:dyDescent="0.3">
      <c r="B28" s="31"/>
      <c r="C28" s="32"/>
      <c r="D28" s="32"/>
      <c r="E28" s="32"/>
      <c r="F28" s="32"/>
      <c r="G28" s="32"/>
      <c r="H28" s="32"/>
      <c r="I28" s="32"/>
      <c r="J28" s="32"/>
      <c r="K28" s="32"/>
      <c r="L28" s="32"/>
      <c r="M28" s="32"/>
      <c r="N28" s="32"/>
      <c r="O28" s="33"/>
    </row>
    <row r="29" spans="2:15" ht="15" thickBot="1" x14ac:dyDescent="0.35">
      <c r="B29" s="36"/>
      <c r="C29" s="37"/>
      <c r="D29" s="37"/>
      <c r="E29" s="37"/>
      <c r="F29" s="37"/>
      <c r="G29" s="37"/>
      <c r="H29" s="37"/>
      <c r="I29" s="37"/>
      <c r="J29" s="37"/>
      <c r="K29" s="37"/>
      <c r="L29" s="37"/>
      <c r="M29" s="37"/>
      <c r="N29" s="37"/>
      <c r="O29" s="38"/>
    </row>
  </sheetData>
  <mergeCells count="11">
    <mergeCell ref="B2:O3"/>
    <mergeCell ref="B5:C5"/>
    <mergeCell ref="D5:E5"/>
    <mergeCell ref="F5:G5"/>
    <mergeCell ref="H5:I5"/>
    <mergeCell ref="J5:K5"/>
    <mergeCell ref="B6:C6"/>
    <mergeCell ref="D6:E6"/>
    <mergeCell ref="F6:G6"/>
    <mergeCell ref="H6:I6"/>
    <mergeCell ref="J6:K6"/>
  </mergeCells>
  <pageMargins left="0.7" right="0.7" top="0.75" bottom="0.75" header="0.3" footer="0.3"/>
  <drawing r:id="rId3"/>
  <extLst>
    <ext xmlns:x14="http://schemas.microsoft.com/office/spreadsheetml/2009/9/main" uri="{A8765BA9-456A-4dab-B4F3-ACF838C121DE}">
      <x14:slicerList>
        <x14:slicer r:id="rId4"/>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26"/>
  <sheetViews>
    <sheetView workbookViewId="0">
      <selection sqref="A1:H2"/>
    </sheetView>
  </sheetViews>
  <sheetFormatPr defaultRowHeight="14.4" x14ac:dyDescent="0.3"/>
  <cols>
    <col min="1" max="9" width="15.77734375" customWidth="1"/>
  </cols>
  <sheetData>
    <row r="1" spans="1:8" x14ac:dyDescent="0.3">
      <c r="A1" s="39" t="s">
        <v>170</v>
      </c>
      <c r="B1" s="39"/>
      <c r="C1" s="39"/>
      <c r="D1" s="39"/>
      <c r="E1" s="39"/>
      <c r="F1" s="39"/>
      <c r="G1" s="39"/>
      <c r="H1" s="39"/>
    </row>
    <row r="2" spans="1:8" x14ac:dyDescent="0.3">
      <c r="A2" s="39"/>
      <c r="B2" s="39"/>
      <c r="C2" s="39"/>
      <c r="D2" s="39"/>
      <c r="E2" s="39"/>
      <c r="F2" s="39"/>
      <c r="G2" s="39"/>
      <c r="H2" s="39"/>
    </row>
    <row r="3" spans="1:8" ht="15.6" x14ac:dyDescent="0.3">
      <c r="A3" s="40" t="s">
        <v>154</v>
      </c>
      <c r="B3" s="40"/>
      <c r="C3" s="40"/>
      <c r="D3" s="40"/>
      <c r="E3" s="40"/>
      <c r="F3" s="40"/>
      <c r="G3" s="40"/>
      <c r="H3" s="40"/>
    </row>
    <row r="5" spans="1:8" x14ac:dyDescent="0.3">
      <c r="A5" s="41" t="s">
        <v>155</v>
      </c>
      <c r="B5" s="41"/>
      <c r="C5" s="41"/>
      <c r="D5" s="41"/>
      <c r="E5" s="41"/>
      <c r="F5" s="41"/>
      <c r="G5" s="41"/>
      <c r="H5" s="41"/>
    </row>
    <row r="6" spans="1:8" ht="30" customHeight="1" x14ac:dyDescent="0.3">
      <c r="A6" s="43" t="s">
        <v>169</v>
      </c>
      <c r="B6" s="43"/>
      <c r="C6" s="43"/>
      <c r="D6" s="43"/>
      <c r="E6" s="43"/>
      <c r="F6" s="43"/>
      <c r="G6" s="43"/>
      <c r="H6" s="43"/>
    </row>
    <row r="8" spans="1:8" x14ac:dyDescent="0.3">
      <c r="A8" s="41" t="s">
        <v>156</v>
      </c>
      <c r="B8" s="41"/>
      <c r="C8" s="41"/>
      <c r="D8" s="41"/>
      <c r="E8" s="41"/>
      <c r="F8" s="41"/>
      <c r="G8" s="41"/>
      <c r="H8" s="41"/>
    </row>
    <row r="9" spans="1:8" ht="30" customHeight="1" x14ac:dyDescent="0.3">
      <c r="A9" s="43" t="s">
        <v>157</v>
      </c>
      <c r="B9" s="43"/>
      <c r="C9" s="43"/>
      <c r="D9" s="43"/>
      <c r="E9" s="43"/>
      <c r="F9" s="43"/>
      <c r="G9" s="43"/>
      <c r="H9" s="43"/>
    </row>
    <row r="11" spans="1:8" x14ac:dyDescent="0.3">
      <c r="A11" s="41" t="s">
        <v>158</v>
      </c>
      <c r="B11" s="41"/>
      <c r="C11" s="41"/>
      <c r="D11" s="41"/>
      <c r="E11" s="41"/>
      <c r="F11" s="41"/>
      <c r="G11" s="41"/>
      <c r="H11" s="41"/>
    </row>
    <row r="12" spans="1:8" ht="30" customHeight="1" x14ac:dyDescent="0.3">
      <c r="A12" s="43" t="s">
        <v>159</v>
      </c>
      <c r="B12" s="43"/>
      <c r="C12" s="43"/>
      <c r="D12" s="43"/>
      <c r="E12" s="43"/>
      <c r="F12" s="43"/>
      <c r="G12" s="43"/>
      <c r="H12" s="43"/>
    </row>
    <row r="14" spans="1:8" x14ac:dyDescent="0.3">
      <c r="A14" s="41" t="s">
        <v>160</v>
      </c>
      <c r="B14" s="41"/>
      <c r="C14" s="41"/>
      <c r="D14" s="41"/>
      <c r="E14" s="41"/>
      <c r="F14" s="41"/>
      <c r="G14" s="41"/>
      <c r="H14" s="41"/>
    </row>
    <row r="15" spans="1:8" ht="30" customHeight="1" x14ac:dyDescent="0.3">
      <c r="A15" s="43" t="s">
        <v>161</v>
      </c>
      <c r="B15" s="43"/>
      <c r="C15" s="43"/>
      <c r="D15" s="43"/>
      <c r="E15" s="43"/>
      <c r="F15" s="43"/>
      <c r="G15" s="43"/>
      <c r="H15" s="43"/>
    </row>
    <row r="17" spans="1:8" ht="15.6" x14ac:dyDescent="0.3">
      <c r="A17" s="42" t="s">
        <v>162</v>
      </c>
      <c r="B17" s="42"/>
      <c r="C17" s="42"/>
      <c r="D17" s="42"/>
      <c r="E17" s="42"/>
      <c r="F17" s="42"/>
      <c r="G17" s="42"/>
      <c r="H17" s="42"/>
    </row>
    <row r="19" spans="1:8" x14ac:dyDescent="0.3">
      <c r="A19" s="41" t="s">
        <v>163</v>
      </c>
      <c r="B19" s="41"/>
      <c r="C19" s="41"/>
      <c r="D19" s="41"/>
      <c r="E19" s="41"/>
      <c r="F19" s="41"/>
      <c r="G19" s="41"/>
      <c r="H19" s="41"/>
    </row>
    <row r="20" spans="1:8" ht="30" customHeight="1" x14ac:dyDescent="0.3">
      <c r="A20" s="43" t="s">
        <v>164</v>
      </c>
      <c r="B20" s="43"/>
      <c r="C20" s="43"/>
      <c r="D20" s="43"/>
      <c r="E20" s="43"/>
      <c r="F20" s="43"/>
      <c r="G20" s="43"/>
      <c r="H20" s="43"/>
    </row>
    <row r="22" spans="1:8" x14ac:dyDescent="0.3">
      <c r="A22" s="41" t="s">
        <v>165</v>
      </c>
      <c r="B22" s="41"/>
      <c r="C22" s="41"/>
      <c r="D22" s="41"/>
      <c r="E22" s="41"/>
      <c r="F22" s="41"/>
      <c r="G22" s="41"/>
      <c r="H22" s="41"/>
    </row>
    <row r="23" spans="1:8" ht="40.049999999999997" customHeight="1" x14ac:dyDescent="0.3">
      <c r="A23" s="43" t="s">
        <v>166</v>
      </c>
      <c r="B23" s="43"/>
      <c r="C23" s="43"/>
      <c r="D23" s="43"/>
      <c r="E23" s="43"/>
      <c r="F23" s="43"/>
      <c r="G23" s="43"/>
      <c r="H23" s="43"/>
    </row>
    <row r="25" spans="1:8" x14ac:dyDescent="0.3">
      <c r="A25" s="41" t="s">
        <v>167</v>
      </c>
      <c r="B25" s="41"/>
      <c r="C25" s="41"/>
      <c r="D25" s="41"/>
      <c r="E25" s="41"/>
      <c r="F25" s="41"/>
      <c r="G25" s="41"/>
      <c r="H25" s="41"/>
    </row>
    <row r="26" spans="1:8" ht="30" customHeight="1" x14ac:dyDescent="0.3">
      <c r="A26" s="43" t="s">
        <v>168</v>
      </c>
      <c r="B26" s="43"/>
      <c r="C26" s="43"/>
      <c r="D26" s="43"/>
      <c r="E26" s="43"/>
      <c r="F26" s="43"/>
      <c r="G26" s="43"/>
      <c r="H26" s="43"/>
    </row>
  </sheetData>
  <mergeCells count="17">
    <mergeCell ref="A19:H19"/>
    <mergeCell ref="A20:H20"/>
    <mergeCell ref="A22:H22"/>
    <mergeCell ref="A23:H23"/>
    <mergeCell ref="A25:H25"/>
    <mergeCell ref="A26:H26"/>
    <mergeCell ref="A9:H9"/>
    <mergeCell ref="A11:H11"/>
    <mergeCell ref="A12:H12"/>
    <mergeCell ref="A14:H14"/>
    <mergeCell ref="A15:H15"/>
    <mergeCell ref="A17:H17"/>
    <mergeCell ref="A1:H2"/>
    <mergeCell ref="A3:H3"/>
    <mergeCell ref="A5:H5"/>
    <mergeCell ref="A6:H6"/>
    <mergeCell ref="A8:H8"/>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2:C9"/>
  <sheetViews>
    <sheetView workbookViewId="0"/>
  </sheetViews>
  <sheetFormatPr defaultRowHeight="14.4" x14ac:dyDescent="0.3"/>
  <cols>
    <col min="1" max="1" width="13.6640625" bestFit="1" customWidth="1"/>
    <col min="3" max="3" width="32.33203125" bestFit="1" customWidth="1"/>
  </cols>
  <sheetData>
    <row r="2" spans="1:3" ht="17.399999999999999" x14ac:dyDescent="0.3">
      <c r="A2" s="11" t="s">
        <v>142</v>
      </c>
      <c r="B2" s="11"/>
      <c r="C2" s="11"/>
    </row>
    <row r="4" spans="1:3" x14ac:dyDescent="0.3">
      <c r="A4" s="7" t="s">
        <v>143</v>
      </c>
      <c r="C4" s="8" t="s">
        <v>144</v>
      </c>
    </row>
    <row r="5" spans="1:3" x14ac:dyDescent="0.3">
      <c r="A5" s="9" t="s">
        <v>14</v>
      </c>
      <c r="C5" s="10" t="s">
        <v>14</v>
      </c>
    </row>
    <row r="6" spans="1:3" x14ac:dyDescent="0.3">
      <c r="A6" s="9" t="s">
        <v>20</v>
      </c>
      <c r="C6" s="10"/>
    </row>
    <row r="7" spans="1:3" x14ac:dyDescent="0.3">
      <c r="A7" s="9" t="s">
        <v>24</v>
      </c>
      <c r="C7" s="10"/>
    </row>
    <row r="8" spans="1:3" x14ac:dyDescent="0.3">
      <c r="A8" s="9" t="s">
        <v>12</v>
      </c>
      <c r="C8" s="10"/>
    </row>
    <row r="9" spans="1:3" x14ac:dyDescent="0.3">
      <c r="A9" s="9" t="s">
        <v>27</v>
      </c>
      <c r="C9" s="10"/>
    </row>
  </sheetData>
  <mergeCells count="1">
    <mergeCell ref="A2:C2"/>
  </mergeCells>
  <dataValidations count="1">
    <dataValidation type="list" allowBlank="1" errorTitle="Invalid Entry" error="Invalid region. Please choose from: Central, East, North, South, West" promptTitle="Region Selection" prompt="Select a valid region" sqref="C5:C9">
      <formula1>"Central,East,North,South,West"</formula1>
      <formula2>0</formula2>
    </dataValidation>
  </dataValidation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2:C14"/>
  <sheetViews>
    <sheetView workbookViewId="0"/>
  </sheetViews>
  <sheetFormatPr defaultRowHeight="14.4" x14ac:dyDescent="0.3"/>
  <cols>
    <col min="1" max="1" width="10.77734375" bestFit="1" customWidth="1"/>
    <col min="2" max="2" width="14.109375" customWidth="1"/>
    <col min="3" max="3" width="27.88671875" bestFit="1" customWidth="1"/>
  </cols>
  <sheetData>
    <row r="2" spans="1:3" x14ac:dyDescent="0.3">
      <c r="A2" s="4" t="s">
        <v>9</v>
      </c>
      <c r="B2" t="s">
        <v>126</v>
      </c>
      <c r="C2" t="s">
        <v>133</v>
      </c>
    </row>
    <row r="3" spans="1:3" x14ac:dyDescent="0.3">
      <c r="A3" t="s">
        <v>14</v>
      </c>
      <c r="B3" s="1">
        <v>17.280514841003029</v>
      </c>
      <c r="C3" s="1">
        <v>2.3333333333333335</v>
      </c>
    </row>
    <row r="4" spans="1:3" x14ac:dyDescent="0.3">
      <c r="A4" t="s">
        <v>20</v>
      </c>
      <c r="B4" s="1">
        <v>16.371172019628016</v>
      </c>
      <c r="C4" s="1">
        <v>2.1428571428571428</v>
      </c>
    </row>
    <row r="5" spans="1:3" x14ac:dyDescent="0.3">
      <c r="A5" t="s">
        <v>24</v>
      </c>
      <c r="B5" s="1">
        <v>16.789441132947946</v>
      </c>
      <c r="C5" s="1">
        <v>2</v>
      </c>
    </row>
    <row r="6" spans="1:3" x14ac:dyDescent="0.3">
      <c r="A6" t="s">
        <v>12</v>
      </c>
      <c r="B6" s="1">
        <v>17.188810268120474</v>
      </c>
      <c r="C6" s="1">
        <v>2.5</v>
      </c>
    </row>
    <row r="7" spans="1:3" x14ac:dyDescent="0.3">
      <c r="A7" t="s">
        <v>27</v>
      </c>
      <c r="B7" s="1">
        <v>17.912368815419139</v>
      </c>
      <c r="C7" s="1">
        <v>1.5833333333333333</v>
      </c>
    </row>
    <row r="8" spans="1:3" x14ac:dyDescent="0.3">
      <c r="A8" t="s">
        <v>123</v>
      </c>
      <c r="B8" s="1">
        <v>17.058049606125373</v>
      </c>
      <c r="C8" s="1">
        <v>2.19</v>
      </c>
    </row>
    <row r="10" spans="1:3" x14ac:dyDescent="0.3">
      <c r="A10" t="s">
        <v>134</v>
      </c>
      <c r="B10" t="s">
        <v>136</v>
      </c>
    </row>
    <row r="11" spans="1:3" x14ac:dyDescent="0.3">
      <c r="A11" t="s">
        <v>135</v>
      </c>
      <c r="B11" t="s">
        <v>141</v>
      </c>
    </row>
    <row r="13" spans="1:3" x14ac:dyDescent="0.3">
      <c r="A13" t="s">
        <v>137</v>
      </c>
      <c r="C13" t="s">
        <v>138</v>
      </c>
    </row>
    <row r="14" spans="1:3" x14ac:dyDescent="0.3">
      <c r="A14" t="s">
        <v>139</v>
      </c>
      <c r="C14" t="s">
        <v>140</v>
      </c>
    </row>
  </sheetData>
  <conditionalFormatting pivot="1" sqref="B3:B7">
    <cfRule type="colorScale" priority="3">
      <colorScale>
        <cfvo type="min"/>
        <cfvo type="percentile" val="50"/>
        <cfvo type="max"/>
        <color rgb="FFF8696B"/>
        <color rgb="FFFFEB84"/>
        <color rgb="FF63BE7B"/>
      </colorScale>
    </cfRule>
  </conditionalFormatting>
  <conditionalFormatting pivot="1" sqref="C3:C7">
    <cfRule type="colorScale" priority="2">
      <colorScale>
        <cfvo type="min"/>
        <cfvo type="max"/>
        <color rgb="FFFFEF9C"/>
        <color rgb="FF63BE7B"/>
      </colorScale>
    </cfRule>
  </conditionalFormatting>
  <conditionalFormatting pivot="1" sqref="B3:B7">
    <cfRule type="colorScale" priority="1">
      <colorScale>
        <cfvo type="min"/>
        <cfvo type="max"/>
        <color rgb="FFFFC000"/>
        <color rgb="FF00B050"/>
      </colorScale>
    </cfRule>
  </conditionalFormatting>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C6"/>
  <sheetViews>
    <sheetView workbookViewId="0">
      <selection activeCell="E15" sqref="E15"/>
    </sheetView>
  </sheetViews>
  <sheetFormatPr defaultRowHeight="14.4" x14ac:dyDescent="0.3"/>
  <cols>
    <col min="1" max="1" width="14.33203125" bestFit="1" customWidth="1"/>
    <col min="2" max="2" width="27.109375" bestFit="1" customWidth="1"/>
    <col min="3" max="3" width="26.6640625" bestFit="1" customWidth="1"/>
  </cols>
  <sheetData>
    <row r="3" spans="1:3" x14ac:dyDescent="0.3">
      <c r="A3" s="4" t="s">
        <v>117</v>
      </c>
      <c r="B3" t="s">
        <v>127</v>
      </c>
      <c r="C3" t="s">
        <v>128</v>
      </c>
    </row>
    <row r="4" spans="1:3" x14ac:dyDescent="0.3">
      <c r="A4" s="5" t="s">
        <v>121</v>
      </c>
      <c r="B4" s="1">
        <v>1.6764705882352942</v>
      </c>
      <c r="C4" s="1">
        <v>1.6911764705882353</v>
      </c>
    </row>
    <row r="5" spans="1:3" x14ac:dyDescent="0.3">
      <c r="A5" s="5" t="s">
        <v>122</v>
      </c>
      <c r="B5" s="1">
        <v>1.2121212121212122</v>
      </c>
      <c r="C5" s="1">
        <v>1.237878787878788</v>
      </c>
    </row>
    <row r="6" spans="1:3" x14ac:dyDescent="0.3">
      <c r="A6" s="5" t="s">
        <v>123</v>
      </c>
      <c r="B6" s="1">
        <v>1.37</v>
      </c>
      <c r="C6" s="1">
        <v>1.3919999999999997</v>
      </c>
    </row>
  </sheetData>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2:G26"/>
  <sheetViews>
    <sheetView workbookViewId="0">
      <selection activeCell="F2" sqref="F2:G8"/>
    </sheetView>
  </sheetViews>
  <sheetFormatPr defaultRowHeight="14.4" x14ac:dyDescent="0.3"/>
  <cols>
    <col min="1" max="1" width="3" customWidth="1"/>
    <col min="2" max="2" width="24.44140625" bestFit="1" customWidth="1"/>
    <col min="3" max="3" width="26.33203125" bestFit="1" customWidth="1"/>
    <col min="4" max="4" width="14.109375" bestFit="1" customWidth="1"/>
    <col min="5" max="5" width="26.6640625" bestFit="1" customWidth="1"/>
    <col min="6" max="6" width="10.77734375" customWidth="1"/>
    <col min="7" max="7" width="14.109375" customWidth="1"/>
    <col min="8" max="21" width="24.77734375" customWidth="1"/>
    <col min="22" max="298" width="24.77734375" bestFit="1" customWidth="1"/>
    <col min="299" max="299" width="27.6640625" bestFit="1" customWidth="1"/>
    <col min="300" max="300" width="29.6640625" bestFit="1" customWidth="1"/>
    <col min="301" max="301" width="18.88671875" bestFit="1" customWidth="1"/>
  </cols>
  <sheetData>
    <row r="2" spans="2:7" x14ac:dyDescent="0.3">
      <c r="B2" s="4" t="s">
        <v>129</v>
      </c>
      <c r="C2" s="4" t="s">
        <v>130</v>
      </c>
      <c r="D2" t="s">
        <v>126</v>
      </c>
      <c r="F2" s="4" t="s">
        <v>9</v>
      </c>
      <c r="G2" t="s">
        <v>126</v>
      </c>
    </row>
    <row r="3" spans="2:7" x14ac:dyDescent="0.3">
      <c r="B3" s="2">
        <v>0</v>
      </c>
      <c r="C3" s="2">
        <v>0</v>
      </c>
      <c r="D3" s="1">
        <v>19.016420427584645</v>
      </c>
      <c r="F3" s="5" t="s">
        <v>14</v>
      </c>
      <c r="G3" s="1">
        <v>17.280514841003029</v>
      </c>
    </row>
    <row r="4" spans="2:7" x14ac:dyDescent="0.3">
      <c r="B4" s="2">
        <v>0</v>
      </c>
      <c r="C4" s="2">
        <v>1</v>
      </c>
      <c r="D4" s="1">
        <v>17.280117596560103</v>
      </c>
      <c r="F4" s="5" t="s">
        <v>20</v>
      </c>
      <c r="G4" s="1">
        <v>16.371172019628016</v>
      </c>
    </row>
    <row r="5" spans="2:7" x14ac:dyDescent="0.3">
      <c r="B5" s="2">
        <v>0</v>
      </c>
      <c r="C5" s="2">
        <v>2</v>
      </c>
      <c r="D5" s="1">
        <v>16.27305047255906</v>
      </c>
      <c r="F5" s="5" t="s">
        <v>24</v>
      </c>
      <c r="G5" s="1">
        <v>16.789441132947946</v>
      </c>
    </row>
    <row r="6" spans="2:7" x14ac:dyDescent="0.3">
      <c r="B6" s="2">
        <v>0</v>
      </c>
      <c r="C6" s="2">
        <v>3</v>
      </c>
      <c r="D6" s="1">
        <v>17.104134635526798</v>
      </c>
      <c r="F6" s="5" t="s">
        <v>12</v>
      </c>
      <c r="G6" s="1">
        <v>17.188810268120474</v>
      </c>
    </row>
    <row r="7" spans="2:7" x14ac:dyDescent="0.3">
      <c r="B7" s="2">
        <v>0</v>
      </c>
      <c r="C7" s="2">
        <v>4</v>
      </c>
      <c r="D7" s="1">
        <v>18.137073212360072</v>
      </c>
      <c r="F7" s="5" t="s">
        <v>27</v>
      </c>
      <c r="G7" s="1">
        <v>17.912368815419139</v>
      </c>
    </row>
    <row r="8" spans="2:7" x14ac:dyDescent="0.3">
      <c r="B8" s="2">
        <v>1</v>
      </c>
      <c r="C8" s="2">
        <v>0</v>
      </c>
      <c r="D8" s="1">
        <v>16.35248862763348</v>
      </c>
      <c r="F8" s="5" t="s">
        <v>123</v>
      </c>
      <c r="G8" s="1">
        <v>17.058049606125373</v>
      </c>
    </row>
    <row r="9" spans="2:7" x14ac:dyDescent="0.3">
      <c r="B9" s="2">
        <v>1</v>
      </c>
      <c r="C9" s="2">
        <v>1</v>
      </c>
      <c r="D9" s="1">
        <v>16.201722814253078</v>
      </c>
    </row>
    <row r="10" spans="2:7" x14ac:dyDescent="0.3">
      <c r="B10" s="2">
        <v>1</v>
      </c>
      <c r="C10" s="2">
        <v>2</v>
      </c>
      <c r="D10" s="1">
        <v>17.145357431721354</v>
      </c>
    </row>
    <row r="11" spans="2:7" x14ac:dyDescent="0.3">
      <c r="B11" s="2">
        <v>1</v>
      </c>
      <c r="C11" s="2">
        <v>3</v>
      </c>
      <c r="D11" s="1">
        <v>15.486892118792989</v>
      </c>
    </row>
    <row r="12" spans="2:7" x14ac:dyDescent="0.3">
      <c r="B12" s="2">
        <v>1</v>
      </c>
      <c r="C12" s="2">
        <v>4</v>
      </c>
      <c r="D12" s="1">
        <v>17.548662976364966</v>
      </c>
    </row>
    <row r="13" spans="2:7" x14ac:dyDescent="0.3">
      <c r="B13" s="2">
        <v>2</v>
      </c>
      <c r="C13" s="2">
        <v>0</v>
      </c>
      <c r="D13" s="1">
        <v>18.304030863042058</v>
      </c>
    </row>
    <row r="14" spans="2:7" x14ac:dyDescent="0.3">
      <c r="B14" s="2">
        <v>2</v>
      </c>
      <c r="C14" s="2">
        <v>1</v>
      </c>
      <c r="D14" s="1">
        <v>13.414804870225169</v>
      </c>
    </row>
    <row r="15" spans="2:7" x14ac:dyDescent="0.3">
      <c r="B15" s="2">
        <v>2</v>
      </c>
      <c r="C15" s="2">
        <v>2</v>
      </c>
      <c r="D15" s="1">
        <v>17.219114471226323</v>
      </c>
    </row>
    <row r="16" spans="2:7" x14ac:dyDescent="0.3">
      <c r="B16" s="2">
        <v>2</v>
      </c>
      <c r="C16" s="2">
        <v>4</v>
      </c>
      <c r="D16" s="1">
        <v>17.104693630968079</v>
      </c>
    </row>
    <row r="17" spans="2:4" x14ac:dyDescent="0.3">
      <c r="B17" s="2">
        <v>3</v>
      </c>
      <c r="C17" s="2">
        <v>0</v>
      </c>
      <c r="D17" s="1">
        <v>18.791232347431109</v>
      </c>
    </row>
    <row r="18" spans="2:4" x14ac:dyDescent="0.3">
      <c r="B18" s="2">
        <v>3</v>
      </c>
      <c r="C18" s="2">
        <v>1</v>
      </c>
      <c r="D18" s="1">
        <v>15.547827345547695</v>
      </c>
    </row>
    <row r="19" spans="2:4" x14ac:dyDescent="0.3">
      <c r="B19" s="2">
        <v>3</v>
      </c>
      <c r="C19" s="2">
        <v>2</v>
      </c>
      <c r="D19" s="1">
        <v>18.37904051788599</v>
      </c>
    </row>
    <row r="20" spans="2:4" x14ac:dyDescent="0.3">
      <c r="B20" s="2">
        <v>3</v>
      </c>
      <c r="C20" s="2">
        <v>3</v>
      </c>
      <c r="D20" s="1">
        <v>19.105850849662808</v>
      </c>
    </row>
    <row r="21" spans="2:4" x14ac:dyDescent="0.3">
      <c r="B21" s="2">
        <v>3</v>
      </c>
      <c r="C21" s="2">
        <v>4</v>
      </c>
      <c r="D21" s="1">
        <v>15.747317770125974</v>
      </c>
    </row>
    <row r="22" spans="2:4" x14ac:dyDescent="0.3">
      <c r="B22" s="2">
        <v>4</v>
      </c>
      <c r="C22" s="2">
        <v>0</v>
      </c>
      <c r="D22" s="1">
        <v>17.326942725016981</v>
      </c>
    </row>
    <row r="23" spans="2:4" x14ac:dyDescent="0.3">
      <c r="B23" s="2">
        <v>4</v>
      </c>
      <c r="C23" s="2">
        <v>1</v>
      </c>
      <c r="D23" s="1">
        <v>16.827714126941665</v>
      </c>
    </row>
    <row r="24" spans="2:4" x14ac:dyDescent="0.3">
      <c r="B24" s="2">
        <v>4</v>
      </c>
      <c r="C24" s="2">
        <v>2</v>
      </c>
      <c r="D24" s="1">
        <v>16.79563742079436</v>
      </c>
    </row>
    <row r="25" spans="2:4" x14ac:dyDescent="0.3">
      <c r="B25" s="2">
        <v>4</v>
      </c>
      <c r="C25" s="2">
        <v>3</v>
      </c>
      <c r="D25" s="1">
        <v>16.427913820241738</v>
      </c>
    </row>
    <row r="26" spans="2:4" x14ac:dyDescent="0.3">
      <c r="B26" s="2">
        <v>4</v>
      </c>
      <c r="C26" s="2">
        <v>4</v>
      </c>
      <c r="D26" s="1">
        <v>20.023541521230683</v>
      </c>
    </row>
  </sheetData>
  <pageMargins left="0.7" right="0.7" top="0.75" bottom="0.75" header="0.3" footer="0.3"/>
  <drawing r:id="rId3"/>
  <extLst>
    <ext xmlns:x14="http://schemas.microsoft.com/office/spreadsheetml/2009/9/main" uri="{A8765BA9-456A-4dab-B4F3-ACF838C121DE}">
      <x14:slicerList>
        <x14:slicer r:id="rId4"/>
      </x14:slicerList>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2:H23"/>
  <sheetViews>
    <sheetView workbookViewId="0"/>
  </sheetViews>
  <sheetFormatPr defaultRowHeight="14.4" x14ac:dyDescent="0.3"/>
  <cols>
    <col min="1" max="1" width="12.33203125" customWidth="1"/>
    <col min="2" max="2" width="14" customWidth="1"/>
    <col min="3" max="3" width="11.88671875" customWidth="1"/>
    <col min="4" max="4" width="10.77734375" bestFit="1" customWidth="1"/>
    <col min="5" max="5" width="3" customWidth="1"/>
    <col min="6" max="6" width="22.88671875" customWidth="1"/>
    <col min="7" max="7" width="14.88671875" bestFit="1" customWidth="1"/>
    <col min="8" max="8" width="16.109375" customWidth="1"/>
    <col min="9" max="9" width="27.109375" customWidth="1"/>
    <col min="10" max="12" width="26.6640625" customWidth="1"/>
    <col min="13" max="13" width="24.77734375" customWidth="1"/>
    <col min="14" max="14" width="24.77734375" bestFit="1" customWidth="1"/>
    <col min="15" max="28" width="24.77734375" customWidth="1"/>
    <col min="29" max="305" width="24.77734375" bestFit="1" customWidth="1"/>
    <col min="306" max="306" width="27.6640625" bestFit="1" customWidth="1"/>
    <col min="307" max="307" width="29.6640625" bestFit="1" customWidth="1"/>
    <col min="308" max="308" width="18.88671875" bestFit="1" customWidth="1"/>
  </cols>
  <sheetData>
    <row r="2" spans="1:6" x14ac:dyDescent="0.3">
      <c r="A2" s="4" t="s">
        <v>125</v>
      </c>
      <c r="B2" s="4" t="s">
        <v>125</v>
      </c>
    </row>
    <row r="3" spans="1:6" x14ac:dyDescent="0.3">
      <c r="A3" s="4" t="s">
        <v>120</v>
      </c>
      <c r="B3" t="s">
        <v>121</v>
      </c>
      <c r="C3" t="s">
        <v>122</v>
      </c>
      <c r="F3" s="6"/>
    </row>
    <row r="4" spans="1:6" x14ac:dyDescent="0.3">
      <c r="A4" s="5" t="s">
        <v>124</v>
      </c>
      <c r="B4" s="6">
        <v>10</v>
      </c>
      <c r="C4" s="6">
        <v>29</v>
      </c>
    </row>
    <row r="5" spans="1:6" x14ac:dyDescent="0.3">
      <c r="A5" s="5" t="s">
        <v>131</v>
      </c>
      <c r="B5" s="6">
        <v>12</v>
      </c>
      <c r="C5" s="6">
        <v>18</v>
      </c>
    </row>
    <row r="6" spans="1:6" x14ac:dyDescent="0.3">
      <c r="A6" s="5" t="s">
        <v>132</v>
      </c>
      <c r="B6" s="6">
        <v>12</v>
      </c>
      <c r="C6" s="6">
        <v>19</v>
      </c>
    </row>
    <row r="7" spans="1:6" x14ac:dyDescent="0.3">
      <c r="A7" s="5" t="s">
        <v>123</v>
      </c>
      <c r="B7" s="6">
        <v>34</v>
      </c>
      <c r="C7" s="6">
        <v>66</v>
      </c>
    </row>
    <row r="12" spans="1:6" x14ac:dyDescent="0.3">
      <c r="F12" s="5"/>
    </row>
    <row r="13" spans="1:6" x14ac:dyDescent="0.3">
      <c r="F13" s="5"/>
    </row>
    <row r="14" spans="1:6" x14ac:dyDescent="0.3">
      <c r="F14" s="5"/>
    </row>
    <row r="18" spans="6:8" x14ac:dyDescent="0.3">
      <c r="F18" s="5"/>
    </row>
    <row r="19" spans="6:8" x14ac:dyDescent="0.3">
      <c r="F19" s="5"/>
    </row>
    <row r="20" spans="6:8" x14ac:dyDescent="0.3">
      <c r="F20" s="5"/>
      <c r="H20" s="1"/>
    </row>
    <row r="21" spans="6:8" x14ac:dyDescent="0.3">
      <c r="F21" s="5"/>
      <c r="H21" s="1"/>
    </row>
    <row r="22" spans="6:8" x14ac:dyDescent="0.3">
      <c r="F22" s="5"/>
      <c r="H22" s="1"/>
    </row>
    <row r="23" spans="6:8" x14ac:dyDescent="0.3">
      <c r="F23" s="5"/>
      <c r="H23" s="1"/>
    </row>
  </sheetData>
  <pageMargins left="0.7" right="0.7" top="0.75" bottom="0.75" header="0.3" footer="0.3"/>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M101"/>
  <sheetViews>
    <sheetView workbookViewId="0"/>
  </sheetViews>
  <sheetFormatPr defaultRowHeight="14.4" x14ac:dyDescent="0.3"/>
  <cols>
    <col min="2" max="2" width="13.6640625" customWidth="1"/>
    <col min="3" max="3" width="9" customWidth="1"/>
    <col min="4" max="5" width="11.88671875" customWidth="1"/>
    <col min="6" max="6" width="19.77734375" customWidth="1"/>
    <col min="7" max="7" width="21.6640625" customWidth="1"/>
    <col min="8" max="8" width="19" customWidth="1"/>
    <col min="9" max="9" width="18.5546875" customWidth="1"/>
    <col min="10" max="10" width="9" bestFit="1" customWidth="1"/>
    <col min="11" max="11" width="8.6640625" bestFit="1" customWidth="1"/>
    <col min="12" max="12" width="16.44140625" bestFit="1" customWidth="1"/>
    <col min="13" max="13" width="12.109375" bestFit="1" customWidth="1"/>
  </cols>
  <sheetData>
    <row r="1" spans="1:13" x14ac:dyDescent="0.3">
      <c r="A1" t="s">
        <v>0</v>
      </c>
      <c r="B1" t="s">
        <v>1</v>
      </c>
      <c r="C1" t="s">
        <v>2</v>
      </c>
      <c r="D1" t="s">
        <v>3</v>
      </c>
      <c r="E1" t="s">
        <v>4</v>
      </c>
      <c r="F1" t="s">
        <v>5</v>
      </c>
      <c r="G1" t="s">
        <v>6</v>
      </c>
      <c r="H1" t="s">
        <v>7</v>
      </c>
      <c r="I1" t="s">
        <v>8</v>
      </c>
      <c r="J1" t="s">
        <v>9</v>
      </c>
      <c r="K1" s="3" t="s">
        <v>118</v>
      </c>
      <c r="L1" s="3" t="s">
        <v>119</v>
      </c>
      <c r="M1" s="3" t="s">
        <v>120</v>
      </c>
    </row>
    <row r="2" spans="1:13" x14ac:dyDescent="0.3">
      <c r="A2" t="s">
        <v>10</v>
      </c>
      <c r="B2">
        <v>47</v>
      </c>
      <c r="C2" t="s">
        <v>11</v>
      </c>
      <c r="D2" s="1">
        <v>104.41</v>
      </c>
      <c r="E2" s="1">
        <v>17.34</v>
      </c>
      <c r="F2" s="2">
        <v>1</v>
      </c>
      <c r="G2" s="2">
        <v>2</v>
      </c>
      <c r="H2" s="2">
        <v>3</v>
      </c>
      <c r="I2" s="1">
        <v>1.2</v>
      </c>
      <c r="J2" t="s">
        <v>12</v>
      </c>
      <c r="K2" s="2">
        <f>CH[[#This Row],[Weight_kg]]/(CH[[#This Row],[Height_cm]]/100)^2</f>
        <v>15.90614369846883</v>
      </c>
      <c r="L2" s="6" t="str">
        <f>IF(CH[[#This Row],[1. BMI]]&lt;18,"Underweight",IF(CH[[#This Row],[1. BMI]]&lt;24.9,"Healthy Weight",IF(CH[[#This Row],[1. BMI]]&lt;29.9,"Overweight",IF(CH[[#This Row],[1. BMI]]&gt;=30,"obese","Overweight"))))</f>
        <v>Underweight</v>
      </c>
      <c r="M2" s="6" t="str">
        <f>IF(CH[[#This Row],[Age_Months]]&lt;=36,"24-36 Months",IF(CH[[#This Row],[Age_Months]]&lt;=48,"37-48 Months",IF(CH[[#This Row],[Age_Months]]&gt;48,"49-60 Months","37-48 Months")))</f>
        <v>37-48 Months</v>
      </c>
    </row>
    <row r="3" spans="1:13" x14ac:dyDescent="0.3">
      <c r="A3" t="s">
        <v>13</v>
      </c>
      <c r="B3">
        <v>34</v>
      </c>
      <c r="C3" t="s">
        <v>11</v>
      </c>
      <c r="D3" s="1">
        <v>99.08</v>
      </c>
      <c r="E3" s="1">
        <v>16.21</v>
      </c>
      <c r="F3" s="2">
        <v>0</v>
      </c>
      <c r="G3" s="2">
        <v>1</v>
      </c>
      <c r="H3" s="2">
        <v>1</v>
      </c>
      <c r="I3" s="1">
        <v>1.4</v>
      </c>
      <c r="J3" t="s">
        <v>14</v>
      </c>
      <c r="K3" s="2">
        <f>CH[[#This Row],[Weight_kg]]/(CH[[#This Row],[Height_cm]]/100)^2</f>
        <v>16.512431120446177</v>
      </c>
      <c r="L3" s="6" t="str">
        <f>IF(CH[[#This Row],[1. BMI]]&lt;18,"Underweight",IF(CH[[#This Row],[1. BMI]]&lt;24.9,"Healthy Weight",IF(CH[[#This Row],[1. BMI]]&lt;29.9,"Overweight",IF(CH[[#This Row],[1. BMI]]&gt;=30,"obese","Overweight"))))</f>
        <v>Underweight</v>
      </c>
      <c r="M3" s="6" t="str">
        <f>IF(CH[[#This Row],[Age_Months]]&lt;=36,"24-36 Months",IF(CH[[#This Row],[Age_Months]]&lt;=48,"37-48 Months",IF(CH[[#This Row],[Age_Months]]&gt;48,"49-60 Months","37-48 Months")))</f>
        <v>24-36 Months</v>
      </c>
    </row>
    <row r="4" spans="1:13" x14ac:dyDescent="0.3">
      <c r="A4" t="s">
        <v>15</v>
      </c>
      <c r="B4">
        <v>35</v>
      </c>
      <c r="C4" t="s">
        <v>11</v>
      </c>
      <c r="D4" s="1">
        <v>94.96</v>
      </c>
      <c r="E4" s="1">
        <v>17.3</v>
      </c>
      <c r="F4" s="2">
        <v>3</v>
      </c>
      <c r="G4" s="2">
        <v>3</v>
      </c>
      <c r="H4" s="2">
        <v>2</v>
      </c>
      <c r="I4" s="1">
        <v>0.6</v>
      </c>
      <c r="J4" t="s">
        <v>14</v>
      </c>
      <c r="K4" s="2">
        <f>CH[[#This Row],[Weight_kg]]/(CH[[#This Row],[Height_cm]]/100)^2</f>
        <v>19.185127564907393</v>
      </c>
      <c r="L4" s="6" t="str">
        <f>IF(CH[[#This Row],[1. BMI]]&lt;18,"Underweight",IF(CH[[#This Row],[1. BMI]]&lt;24.9,"Healthy Weight",IF(CH[[#This Row],[1. BMI]]&lt;29.9,"Overweight",IF(CH[[#This Row],[1. BMI]]&gt;=30,"obese","Overweight"))))</f>
        <v>Healthy Weight</v>
      </c>
      <c r="M4" s="6" t="str">
        <f>IF(CH[[#This Row],[Age_Months]]&lt;=36,"24-36 Months",IF(CH[[#This Row],[Age_Months]]&lt;=48,"37-48 Months",IF(CH[[#This Row],[Age_Months]]&gt;48,"49-60 Months","37-48 Months")))</f>
        <v>24-36 Months</v>
      </c>
    </row>
    <row r="5" spans="1:13" x14ac:dyDescent="0.3">
      <c r="A5" t="s">
        <v>16</v>
      </c>
      <c r="B5">
        <v>39</v>
      </c>
      <c r="C5" t="s">
        <v>11</v>
      </c>
      <c r="D5" s="1">
        <v>100.65</v>
      </c>
      <c r="E5" s="1">
        <v>20.010000000000002</v>
      </c>
      <c r="F5" s="2">
        <v>2</v>
      </c>
      <c r="G5" s="2">
        <v>0</v>
      </c>
      <c r="H5" s="2">
        <v>1</v>
      </c>
      <c r="I5" s="1">
        <v>1.5</v>
      </c>
      <c r="J5" t="s">
        <v>14</v>
      </c>
      <c r="K5" s="2">
        <f>CH[[#This Row],[Weight_kg]]/(CH[[#This Row],[Height_cm]]/100)^2</f>
        <v>19.75238446372795</v>
      </c>
      <c r="L5" s="6" t="str">
        <f>IF(CH[[#This Row],[1. BMI]]&lt;18,"Underweight",IF(CH[[#This Row],[1. BMI]]&lt;24.9,"Healthy Weight",IF(CH[[#This Row],[1. BMI]]&lt;29.9,"Overweight",IF(CH[[#This Row],[1. BMI]]&gt;=30,"obese","Overweight"))))</f>
        <v>Healthy Weight</v>
      </c>
      <c r="M5" s="6" t="str">
        <f>IF(CH[[#This Row],[Age_Months]]&lt;=36,"24-36 Months",IF(CH[[#This Row],[Age_Months]]&lt;=48,"37-48 Months",IF(CH[[#This Row],[Age_Months]]&gt;48,"49-60 Months","37-48 Months")))</f>
        <v>37-48 Months</v>
      </c>
    </row>
    <row r="6" spans="1:13" x14ac:dyDescent="0.3">
      <c r="A6" t="s">
        <v>17</v>
      </c>
      <c r="B6">
        <v>26</v>
      </c>
      <c r="C6" t="s">
        <v>11</v>
      </c>
      <c r="D6" s="1">
        <v>90.06</v>
      </c>
      <c r="E6" s="1">
        <v>12.16</v>
      </c>
      <c r="F6" s="2">
        <v>0</v>
      </c>
      <c r="G6" s="2">
        <v>1</v>
      </c>
      <c r="H6" s="2">
        <v>0</v>
      </c>
      <c r="I6" s="1">
        <v>0.9</v>
      </c>
      <c r="J6" t="s">
        <v>12</v>
      </c>
      <c r="K6" s="2">
        <f>CH[[#This Row],[Weight_kg]]/(CH[[#This Row],[Height_cm]]/100)^2</f>
        <v>14.992349216790304</v>
      </c>
      <c r="L6" s="6" t="str">
        <f>IF(CH[[#This Row],[1. BMI]]&lt;18,"Underweight",IF(CH[[#This Row],[1. BMI]]&lt;24.9,"Healthy Weight",IF(CH[[#This Row],[1. BMI]]&lt;29.9,"Overweight",IF(CH[[#This Row],[1. BMI]]&gt;=30,"obese","Overweight"))))</f>
        <v>Underweight</v>
      </c>
      <c r="M6" s="6" t="str">
        <f>IF(CH[[#This Row],[Age_Months]]&lt;=36,"24-36 Months",IF(CH[[#This Row],[Age_Months]]&lt;=48,"37-48 Months",IF(CH[[#This Row],[Age_Months]]&gt;48,"49-60 Months","37-48 Months")))</f>
        <v>24-36 Months</v>
      </c>
    </row>
    <row r="7" spans="1:13" x14ac:dyDescent="0.3">
      <c r="A7" t="s">
        <v>18</v>
      </c>
      <c r="B7">
        <v>51</v>
      </c>
      <c r="C7" t="s">
        <v>19</v>
      </c>
      <c r="D7" s="1">
        <v>108.82</v>
      </c>
      <c r="E7" s="1">
        <v>21.54</v>
      </c>
      <c r="F7" s="2">
        <v>0</v>
      </c>
      <c r="G7" s="2">
        <v>1</v>
      </c>
      <c r="H7" s="2">
        <v>1</v>
      </c>
      <c r="I7" s="1">
        <v>0.9</v>
      </c>
      <c r="J7" t="s">
        <v>20</v>
      </c>
      <c r="K7" s="2">
        <f>CH[[#This Row],[Weight_kg]]/(CH[[#This Row],[Height_cm]]/100)^2</f>
        <v>18.189813900132215</v>
      </c>
      <c r="L7" s="6" t="str">
        <f>IF(CH[[#This Row],[1. BMI]]&lt;18,"Underweight",IF(CH[[#This Row],[1. BMI]]&lt;24.9,"Healthy Weight",IF(CH[[#This Row],[1. BMI]]&lt;29.9,"Overweight",IF(CH[[#This Row],[1. BMI]]&gt;=30,"obese","Overweight"))))</f>
        <v>Healthy Weight</v>
      </c>
      <c r="M7" s="6" t="str">
        <f>IF(CH[[#This Row],[Age_Months]]&lt;=36,"24-36 Months",IF(CH[[#This Row],[Age_Months]]&lt;=48,"37-48 Months",IF(CH[[#This Row],[Age_Months]]&gt;48,"49-60 Months","37-48 Months")))</f>
        <v>49-60 Months</v>
      </c>
    </row>
    <row r="8" spans="1:13" x14ac:dyDescent="0.3">
      <c r="A8" t="s">
        <v>21</v>
      </c>
      <c r="B8">
        <v>52</v>
      </c>
      <c r="C8" t="s">
        <v>19</v>
      </c>
      <c r="D8" s="1">
        <v>110.28</v>
      </c>
      <c r="E8" s="1">
        <v>21.49</v>
      </c>
      <c r="F8" s="2">
        <v>4</v>
      </c>
      <c r="G8" s="2">
        <v>0</v>
      </c>
      <c r="H8" s="2">
        <v>2</v>
      </c>
      <c r="I8" s="1">
        <v>2.8</v>
      </c>
      <c r="J8" t="s">
        <v>12</v>
      </c>
      <c r="K8" s="2">
        <f>CH[[#This Row],[Weight_kg]]/(CH[[#This Row],[Height_cm]]/100)^2</f>
        <v>17.67025840775398</v>
      </c>
      <c r="L8" s="6" t="str">
        <f>IF(CH[[#This Row],[1. BMI]]&lt;18,"Underweight",IF(CH[[#This Row],[1. BMI]]&lt;24.9,"Healthy Weight",IF(CH[[#This Row],[1. BMI]]&lt;29.9,"Overweight",IF(CH[[#This Row],[1. BMI]]&gt;=30,"obese","Overweight"))))</f>
        <v>Underweight</v>
      </c>
      <c r="M8" s="6" t="str">
        <f>IF(CH[[#This Row],[Age_Months]]&lt;=36,"24-36 Months",IF(CH[[#This Row],[Age_Months]]&lt;=48,"37-48 Months",IF(CH[[#This Row],[Age_Months]]&gt;48,"49-60 Months","37-48 Months")))</f>
        <v>49-60 Months</v>
      </c>
    </row>
    <row r="9" spans="1:13" x14ac:dyDescent="0.3">
      <c r="A9" t="s">
        <v>22</v>
      </c>
      <c r="B9">
        <v>52</v>
      </c>
      <c r="C9" t="s">
        <v>11</v>
      </c>
      <c r="D9" s="1">
        <v>102.65</v>
      </c>
      <c r="E9" s="1">
        <v>19.55</v>
      </c>
      <c r="F9" s="2">
        <v>2</v>
      </c>
      <c r="G9" s="2">
        <v>2</v>
      </c>
      <c r="H9" s="2">
        <v>1</v>
      </c>
      <c r="I9" s="1">
        <v>1.3</v>
      </c>
      <c r="J9" t="s">
        <v>14</v>
      </c>
      <c r="K9" s="2">
        <f>CH[[#This Row],[Weight_kg]]/(CH[[#This Row],[Height_cm]]/100)^2</f>
        <v>18.553628408784363</v>
      </c>
      <c r="L9" s="6" t="str">
        <f>IF(CH[[#This Row],[1. BMI]]&lt;18,"Underweight",IF(CH[[#This Row],[1. BMI]]&lt;24.9,"Healthy Weight",IF(CH[[#This Row],[1. BMI]]&lt;29.9,"Overweight",IF(CH[[#This Row],[1. BMI]]&gt;=30,"obese","Overweight"))))</f>
        <v>Healthy Weight</v>
      </c>
      <c r="M9" s="6" t="str">
        <f>IF(CH[[#This Row],[Age_Months]]&lt;=36,"24-36 Months",IF(CH[[#This Row],[Age_Months]]&lt;=48,"37-48 Months",IF(CH[[#This Row],[Age_Months]]&gt;48,"49-60 Months","37-48 Months")))</f>
        <v>49-60 Months</v>
      </c>
    </row>
    <row r="10" spans="1:13" x14ac:dyDescent="0.3">
      <c r="A10" t="s">
        <v>23</v>
      </c>
      <c r="B10">
        <v>28</v>
      </c>
      <c r="C10" t="s">
        <v>19</v>
      </c>
      <c r="D10" s="1">
        <v>91.47</v>
      </c>
      <c r="E10" s="1">
        <v>16.39</v>
      </c>
      <c r="F10" s="2">
        <v>3</v>
      </c>
      <c r="G10" s="2">
        <v>2</v>
      </c>
      <c r="H10" s="2">
        <v>3</v>
      </c>
      <c r="I10" s="1">
        <v>0.8</v>
      </c>
      <c r="J10" t="s">
        <v>24</v>
      </c>
      <c r="K10" s="2">
        <f>CH[[#This Row],[Weight_kg]]/(CH[[#This Row],[Height_cm]]/100)^2</f>
        <v>19.589420799631078</v>
      </c>
      <c r="L10" s="6" t="str">
        <f>IF(CH[[#This Row],[1. BMI]]&lt;18,"Underweight",IF(CH[[#This Row],[1. BMI]]&lt;24.9,"Healthy Weight",IF(CH[[#This Row],[1. BMI]]&lt;29.9,"Overweight",IF(CH[[#This Row],[1. BMI]]&gt;=30,"obese","Overweight"))))</f>
        <v>Healthy Weight</v>
      </c>
      <c r="M10" s="6" t="str">
        <f>IF(CH[[#This Row],[Age_Months]]&lt;=36,"24-36 Months",IF(CH[[#This Row],[Age_Months]]&lt;=48,"37-48 Months",IF(CH[[#This Row],[Age_Months]]&gt;48,"49-60 Months","37-48 Months")))</f>
        <v>24-36 Months</v>
      </c>
    </row>
    <row r="11" spans="1:13" x14ac:dyDescent="0.3">
      <c r="A11" t="s">
        <v>25</v>
      </c>
      <c r="B11">
        <v>44</v>
      </c>
      <c r="C11" t="s">
        <v>11</v>
      </c>
      <c r="D11" s="1">
        <v>111.89</v>
      </c>
      <c r="E11" s="1">
        <v>17.95</v>
      </c>
      <c r="F11" s="2">
        <v>1</v>
      </c>
      <c r="G11" s="2">
        <v>3</v>
      </c>
      <c r="H11" s="2">
        <v>0</v>
      </c>
      <c r="I11" s="1">
        <v>0.8</v>
      </c>
      <c r="J11" t="s">
        <v>14</v>
      </c>
      <c r="K11" s="2">
        <f>CH[[#This Row],[Weight_kg]]/(CH[[#This Row],[Height_cm]]/100)^2</f>
        <v>14.337779767724934</v>
      </c>
      <c r="L11" s="6" t="str">
        <f>IF(CH[[#This Row],[1. BMI]]&lt;18,"Underweight",IF(CH[[#This Row],[1. BMI]]&lt;24.9,"Healthy Weight",IF(CH[[#This Row],[1. BMI]]&lt;29.9,"Overweight",IF(CH[[#This Row],[1. BMI]]&gt;=30,"obese","Overweight"))))</f>
        <v>Underweight</v>
      </c>
      <c r="M11" s="6" t="str">
        <f>IF(CH[[#This Row],[Age_Months]]&lt;=36,"24-36 Months",IF(CH[[#This Row],[Age_Months]]&lt;=48,"37-48 Months",IF(CH[[#This Row],[Age_Months]]&gt;48,"49-60 Months","37-48 Months")))</f>
        <v>37-48 Months</v>
      </c>
    </row>
    <row r="12" spans="1:13" x14ac:dyDescent="0.3">
      <c r="A12" t="s">
        <v>26</v>
      </c>
      <c r="B12">
        <v>25</v>
      </c>
      <c r="C12" t="s">
        <v>19</v>
      </c>
      <c r="D12" s="1">
        <v>96.25</v>
      </c>
      <c r="E12" s="1">
        <v>13.5</v>
      </c>
      <c r="F12" s="2">
        <v>3</v>
      </c>
      <c r="G12" s="2">
        <v>4</v>
      </c>
      <c r="H12" s="2">
        <v>0</v>
      </c>
      <c r="I12" s="1">
        <v>0.6</v>
      </c>
      <c r="J12" t="s">
        <v>27</v>
      </c>
      <c r="K12" s="2">
        <f>CH[[#This Row],[Weight_kg]]/(CH[[#This Row],[Height_cm]]/100)^2</f>
        <v>14.572440546466519</v>
      </c>
      <c r="L12" s="6" t="str">
        <f>IF(CH[[#This Row],[1. BMI]]&lt;18,"Underweight",IF(CH[[#This Row],[1. BMI]]&lt;24.9,"Healthy Weight",IF(CH[[#This Row],[1. BMI]]&lt;29.9,"Overweight",IF(CH[[#This Row],[1. BMI]]&gt;=30,"obese","Overweight"))))</f>
        <v>Underweight</v>
      </c>
      <c r="M12" s="6" t="str">
        <f>IF(CH[[#This Row],[Age_Months]]&lt;=36,"24-36 Months",IF(CH[[#This Row],[Age_Months]]&lt;=48,"37-48 Months",IF(CH[[#This Row],[Age_Months]]&gt;48,"49-60 Months","37-48 Months")))</f>
        <v>24-36 Months</v>
      </c>
    </row>
    <row r="13" spans="1:13" x14ac:dyDescent="0.3">
      <c r="A13" t="s">
        <v>28</v>
      </c>
      <c r="B13">
        <v>32</v>
      </c>
      <c r="C13" t="s">
        <v>11</v>
      </c>
      <c r="D13" s="1">
        <v>96.02</v>
      </c>
      <c r="E13" s="1">
        <v>16.55</v>
      </c>
      <c r="F13" s="2">
        <v>2</v>
      </c>
      <c r="G13" s="2">
        <v>0</v>
      </c>
      <c r="H13" s="2">
        <v>2</v>
      </c>
      <c r="I13" s="1">
        <v>1</v>
      </c>
      <c r="J13" t="s">
        <v>24</v>
      </c>
      <c r="K13" s="2">
        <f>CH[[#This Row],[Weight_kg]]/(CH[[#This Row],[Height_cm]]/100)^2</f>
        <v>17.950419185130364</v>
      </c>
      <c r="L13" s="6" t="str">
        <f>IF(CH[[#This Row],[1. BMI]]&lt;18,"Underweight",IF(CH[[#This Row],[1. BMI]]&lt;24.9,"Healthy Weight",IF(CH[[#This Row],[1. BMI]]&lt;29.9,"Overweight",IF(CH[[#This Row],[1. BMI]]&gt;=30,"obese","Overweight"))))</f>
        <v>Underweight</v>
      </c>
      <c r="M13" s="6" t="str">
        <f>IF(CH[[#This Row],[Age_Months]]&lt;=36,"24-36 Months",IF(CH[[#This Row],[Age_Months]]&lt;=48,"37-48 Months",IF(CH[[#This Row],[Age_Months]]&gt;48,"49-60 Months","37-48 Months")))</f>
        <v>24-36 Months</v>
      </c>
    </row>
    <row r="14" spans="1:13" x14ac:dyDescent="0.3">
      <c r="A14" t="s">
        <v>29</v>
      </c>
      <c r="B14">
        <v>34</v>
      </c>
      <c r="C14" t="s">
        <v>19</v>
      </c>
      <c r="D14" s="1">
        <v>97.37</v>
      </c>
      <c r="E14" s="1">
        <v>15.55</v>
      </c>
      <c r="F14" s="2">
        <v>0</v>
      </c>
      <c r="G14" s="2">
        <v>1</v>
      </c>
      <c r="H14" s="2">
        <v>2</v>
      </c>
      <c r="I14" s="1">
        <v>1.3</v>
      </c>
      <c r="J14" t="s">
        <v>20</v>
      </c>
      <c r="K14" s="2">
        <f>CH[[#This Row],[Weight_kg]]/(CH[[#This Row],[Height_cm]]/100)^2</f>
        <v>16.401367255945466</v>
      </c>
      <c r="L14" s="6" t="str">
        <f>IF(CH[[#This Row],[1. BMI]]&lt;18,"Underweight",IF(CH[[#This Row],[1. BMI]]&lt;24.9,"Healthy Weight",IF(CH[[#This Row],[1. BMI]]&lt;29.9,"Overweight",IF(CH[[#This Row],[1. BMI]]&gt;=30,"obese","Overweight"))))</f>
        <v>Underweight</v>
      </c>
      <c r="M14" s="6" t="str">
        <f>IF(CH[[#This Row],[Age_Months]]&lt;=36,"24-36 Months",IF(CH[[#This Row],[Age_Months]]&lt;=48,"37-48 Months",IF(CH[[#This Row],[Age_Months]]&gt;48,"49-60 Months","37-48 Months")))</f>
        <v>24-36 Months</v>
      </c>
    </row>
    <row r="15" spans="1:13" x14ac:dyDescent="0.3">
      <c r="A15" t="s">
        <v>30</v>
      </c>
      <c r="B15">
        <v>49</v>
      </c>
      <c r="C15" t="s">
        <v>19</v>
      </c>
      <c r="D15" s="1">
        <v>108.39</v>
      </c>
      <c r="E15" s="1">
        <v>20.100000000000001</v>
      </c>
      <c r="F15" s="2">
        <v>0</v>
      </c>
      <c r="G15" s="2">
        <v>2</v>
      </c>
      <c r="H15" s="2">
        <v>3</v>
      </c>
      <c r="I15" s="1">
        <v>0.6</v>
      </c>
      <c r="J15" t="s">
        <v>20</v>
      </c>
      <c r="K15" s="2">
        <f>CH[[#This Row],[Weight_kg]]/(CH[[#This Row],[Height_cm]]/100)^2</f>
        <v>17.108724180222072</v>
      </c>
      <c r="L15" s="6" t="str">
        <f>IF(CH[[#This Row],[1. BMI]]&lt;18,"Underweight",IF(CH[[#This Row],[1. BMI]]&lt;24.9,"Healthy Weight",IF(CH[[#This Row],[1. BMI]]&lt;29.9,"Overweight",IF(CH[[#This Row],[1. BMI]]&gt;=30,"obese","Overweight"))))</f>
        <v>Underweight</v>
      </c>
      <c r="M15" s="6" t="str">
        <f>IF(CH[[#This Row],[Age_Months]]&lt;=36,"24-36 Months",IF(CH[[#This Row],[Age_Months]]&lt;=48,"37-48 Months",IF(CH[[#This Row],[Age_Months]]&gt;48,"49-60 Months","37-48 Months")))</f>
        <v>49-60 Months</v>
      </c>
    </row>
    <row r="16" spans="1:13" x14ac:dyDescent="0.3">
      <c r="A16" t="s">
        <v>31</v>
      </c>
      <c r="B16">
        <v>25</v>
      </c>
      <c r="C16" t="s">
        <v>19</v>
      </c>
      <c r="D16" s="1">
        <v>92.58</v>
      </c>
      <c r="E16" s="1">
        <v>15.13</v>
      </c>
      <c r="F16" s="2">
        <v>2</v>
      </c>
      <c r="G16" s="2">
        <v>2</v>
      </c>
      <c r="H16" s="2">
        <v>2</v>
      </c>
      <c r="I16" s="1">
        <v>1.6</v>
      </c>
      <c r="J16" t="s">
        <v>14</v>
      </c>
      <c r="K16" s="2">
        <f>CH[[#This Row],[Weight_kg]]/(CH[[#This Row],[Height_cm]]/100)^2</f>
        <v>17.652433135313405</v>
      </c>
      <c r="L16" s="6" t="str">
        <f>IF(CH[[#This Row],[1. BMI]]&lt;18,"Underweight",IF(CH[[#This Row],[1. BMI]]&lt;24.9,"Healthy Weight",IF(CH[[#This Row],[1. BMI]]&lt;29.9,"Overweight",IF(CH[[#This Row],[1. BMI]]&gt;=30,"obese","Overweight"))))</f>
        <v>Underweight</v>
      </c>
      <c r="M16" s="6" t="str">
        <f>IF(CH[[#This Row],[Age_Months]]&lt;=36,"24-36 Months",IF(CH[[#This Row],[Age_Months]]&lt;=48,"37-48 Months",IF(CH[[#This Row],[Age_Months]]&gt;48,"49-60 Months","37-48 Months")))</f>
        <v>24-36 Months</v>
      </c>
    </row>
    <row r="17" spans="1:13" x14ac:dyDescent="0.3">
      <c r="A17" t="s">
        <v>32</v>
      </c>
      <c r="B17">
        <v>38</v>
      </c>
      <c r="C17" t="s">
        <v>19</v>
      </c>
      <c r="D17" s="1">
        <v>99.65</v>
      </c>
      <c r="E17" s="1">
        <v>16.940000000000001</v>
      </c>
      <c r="F17" s="2">
        <v>1</v>
      </c>
      <c r="G17" s="2">
        <v>3</v>
      </c>
      <c r="H17" s="2">
        <v>3</v>
      </c>
      <c r="I17" s="1">
        <v>2.1</v>
      </c>
      <c r="J17" t="s">
        <v>14</v>
      </c>
      <c r="K17" s="2">
        <f>CH[[#This Row],[Weight_kg]]/(CH[[#This Row],[Height_cm]]/100)^2</f>
        <v>17.059205462973896</v>
      </c>
      <c r="L17" s="6" t="str">
        <f>IF(CH[[#This Row],[1. BMI]]&lt;18,"Underweight",IF(CH[[#This Row],[1. BMI]]&lt;24.9,"Healthy Weight",IF(CH[[#This Row],[1. BMI]]&lt;29.9,"Overweight",IF(CH[[#This Row],[1. BMI]]&gt;=30,"obese","Overweight"))))</f>
        <v>Underweight</v>
      </c>
      <c r="M17" s="6" t="str">
        <f>IF(CH[[#This Row],[Age_Months]]&lt;=36,"24-36 Months",IF(CH[[#This Row],[Age_Months]]&lt;=48,"37-48 Months",IF(CH[[#This Row],[Age_Months]]&gt;48,"49-60 Months","37-48 Months")))</f>
        <v>37-48 Months</v>
      </c>
    </row>
    <row r="18" spans="1:13" x14ac:dyDescent="0.3">
      <c r="A18" t="s">
        <v>33</v>
      </c>
      <c r="B18">
        <v>38</v>
      </c>
      <c r="C18" t="s">
        <v>11</v>
      </c>
      <c r="D18" s="1">
        <v>98.91</v>
      </c>
      <c r="E18" s="1">
        <v>19.489999999999998</v>
      </c>
      <c r="F18" s="2">
        <v>0</v>
      </c>
      <c r="G18" s="2">
        <v>0</v>
      </c>
      <c r="H18" s="2">
        <v>3</v>
      </c>
      <c r="I18" s="1">
        <v>3.1</v>
      </c>
      <c r="J18" t="s">
        <v>14</v>
      </c>
      <c r="K18" s="2">
        <f>CH[[#This Row],[Weight_kg]]/(CH[[#This Row],[Height_cm]]/100)^2</f>
        <v>19.92193117497148</v>
      </c>
      <c r="L18" s="6" t="str">
        <f>IF(CH[[#This Row],[1. BMI]]&lt;18,"Underweight",IF(CH[[#This Row],[1. BMI]]&lt;24.9,"Healthy Weight",IF(CH[[#This Row],[1. BMI]]&lt;29.9,"Overweight",IF(CH[[#This Row],[1. BMI]]&gt;=30,"obese","Overweight"))))</f>
        <v>Healthy Weight</v>
      </c>
      <c r="M18" s="6" t="str">
        <f>IF(CH[[#This Row],[Age_Months]]&lt;=36,"24-36 Months",IF(CH[[#This Row],[Age_Months]]&lt;=48,"37-48 Months",IF(CH[[#This Row],[Age_Months]]&gt;48,"49-60 Months","37-48 Months")))</f>
        <v>37-48 Months</v>
      </c>
    </row>
    <row r="19" spans="1:13" x14ac:dyDescent="0.3">
      <c r="A19" t="s">
        <v>34</v>
      </c>
      <c r="B19">
        <v>25</v>
      </c>
      <c r="C19" t="s">
        <v>11</v>
      </c>
      <c r="D19" s="1">
        <v>96.42</v>
      </c>
      <c r="E19" s="1">
        <v>14.69</v>
      </c>
      <c r="F19" s="2">
        <v>1</v>
      </c>
      <c r="G19" s="2">
        <v>3</v>
      </c>
      <c r="H19" s="2">
        <v>2</v>
      </c>
      <c r="I19" s="1">
        <v>1.2</v>
      </c>
      <c r="J19" t="s">
        <v>24</v>
      </c>
      <c r="K19" s="2">
        <f>CH[[#This Row],[Weight_kg]]/(CH[[#This Row],[Height_cm]]/100)^2</f>
        <v>15.801108000799067</v>
      </c>
      <c r="L19" s="6" t="str">
        <f>IF(CH[[#This Row],[1. BMI]]&lt;18,"Underweight",IF(CH[[#This Row],[1. BMI]]&lt;24.9,"Healthy Weight",IF(CH[[#This Row],[1. BMI]]&lt;29.9,"Overweight",IF(CH[[#This Row],[1. BMI]]&gt;=30,"obese","Overweight"))))</f>
        <v>Underweight</v>
      </c>
      <c r="M19" s="6" t="str">
        <f>IF(CH[[#This Row],[Age_Months]]&lt;=36,"24-36 Months",IF(CH[[#This Row],[Age_Months]]&lt;=48,"37-48 Months",IF(CH[[#This Row],[Age_Months]]&gt;48,"49-60 Months","37-48 Months")))</f>
        <v>24-36 Months</v>
      </c>
    </row>
    <row r="20" spans="1:13" x14ac:dyDescent="0.3">
      <c r="A20" t="s">
        <v>35</v>
      </c>
      <c r="B20">
        <v>57</v>
      </c>
      <c r="C20" t="s">
        <v>11</v>
      </c>
      <c r="D20" s="1">
        <v>109.26</v>
      </c>
      <c r="E20" s="1">
        <v>20.61</v>
      </c>
      <c r="F20" s="2">
        <v>3</v>
      </c>
      <c r="G20" s="2">
        <v>2</v>
      </c>
      <c r="H20" s="2">
        <v>1</v>
      </c>
      <c r="I20" s="1">
        <v>2</v>
      </c>
      <c r="J20" t="s">
        <v>20</v>
      </c>
      <c r="K20" s="2">
        <f>CH[[#This Row],[Weight_kg]]/(CH[[#This Row],[Height_cm]]/100)^2</f>
        <v>17.264563375422682</v>
      </c>
      <c r="L20" s="6" t="str">
        <f>IF(CH[[#This Row],[1. BMI]]&lt;18,"Underweight",IF(CH[[#This Row],[1. BMI]]&lt;24.9,"Healthy Weight",IF(CH[[#This Row],[1. BMI]]&lt;29.9,"Overweight",IF(CH[[#This Row],[1. BMI]]&gt;=30,"obese","Overweight"))))</f>
        <v>Underweight</v>
      </c>
      <c r="M20" s="6" t="str">
        <f>IF(CH[[#This Row],[Age_Months]]&lt;=36,"24-36 Months",IF(CH[[#This Row],[Age_Months]]&lt;=48,"37-48 Months",IF(CH[[#This Row],[Age_Months]]&gt;48,"49-60 Months","37-48 Months")))</f>
        <v>49-60 Months</v>
      </c>
    </row>
    <row r="21" spans="1:13" x14ac:dyDescent="0.3">
      <c r="A21" t="s">
        <v>36</v>
      </c>
      <c r="B21">
        <v>34</v>
      </c>
      <c r="C21" t="s">
        <v>19</v>
      </c>
      <c r="D21" s="1">
        <v>98.22</v>
      </c>
      <c r="E21" s="1">
        <v>15.49</v>
      </c>
      <c r="F21" s="2">
        <v>1</v>
      </c>
      <c r="G21" s="2">
        <v>2</v>
      </c>
      <c r="H21" s="2">
        <v>0</v>
      </c>
      <c r="I21" s="1">
        <v>0.8</v>
      </c>
      <c r="J21" t="s">
        <v>14</v>
      </c>
      <c r="K21" s="2">
        <f>CH[[#This Row],[Weight_kg]]/(CH[[#This Row],[Height_cm]]/100)^2</f>
        <v>16.056524938447225</v>
      </c>
      <c r="L21" s="6" t="str">
        <f>IF(CH[[#This Row],[1. BMI]]&lt;18,"Underweight",IF(CH[[#This Row],[1. BMI]]&lt;24.9,"Healthy Weight",IF(CH[[#This Row],[1. BMI]]&lt;29.9,"Overweight",IF(CH[[#This Row],[1. BMI]]&gt;=30,"obese","Overweight"))))</f>
        <v>Underweight</v>
      </c>
      <c r="M21" s="6" t="str">
        <f>IF(CH[[#This Row],[Age_Months]]&lt;=36,"24-36 Months",IF(CH[[#This Row],[Age_Months]]&lt;=48,"37-48 Months",IF(CH[[#This Row],[Age_Months]]&gt;48,"49-60 Months","37-48 Months")))</f>
        <v>24-36 Months</v>
      </c>
    </row>
    <row r="22" spans="1:13" x14ac:dyDescent="0.3">
      <c r="A22" t="s">
        <v>37</v>
      </c>
      <c r="B22">
        <v>35</v>
      </c>
      <c r="C22" t="s">
        <v>11</v>
      </c>
      <c r="D22" s="1">
        <v>101.02</v>
      </c>
      <c r="E22" s="1">
        <v>16.760000000000002</v>
      </c>
      <c r="F22" s="2">
        <v>3</v>
      </c>
      <c r="G22" s="2">
        <v>2</v>
      </c>
      <c r="H22" s="2">
        <v>2</v>
      </c>
      <c r="I22" s="1">
        <v>1.9</v>
      </c>
      <c r="J22" t="s">
        <v>12</v>
      </c>
      <c r="K22" s="2">
        <f>CH[[#This Row],[Weight_kg]]/(CH[[#This Row],[Height_cm]]/100)^2</f>
        <v>16.423256883921791</v>
      </c>
      <c r="L22" s="6" t="str">
        <f>IF(CH[[#This Row],[1. BMI]]&lt;18,"Underweight",IF(CH[[#This Row],[1. BMI]]&lt;24.9,"Healthy Weight",IF(CH[[#This Row],[1. BMI]]&lt;29.9,"Overweight",IF(CH[[#This Row],[1. BMI]]&gt;=30,"obese","Overweight"))))</f>
        <v>Underweight</v>
      </c>
      <c r="M22" s="6" t="str">
        <f>IF(CH[[#This Row],[Age_Months]]&lt;=36,"24-36 Months",IF(CH[[#This Row],[Age_Months]]&lt;=48,"37-48 Months",IF(CH[[#This Row],[Age_Months]]&gt;48,"49-60 Months","37-48 Months")))</f>
        <v>24-36 Months</v>
      </c>
    </row>
    <row r="23" spans="1:13" x14ac:dyDescent="0.3">
      <c r="A23" t="s">
        <v>38</v>
      </c>
      <c r="B23">
        <v>56</v>
      </c>
      <c r="C23" t="s">
        <v>19</v>
      </c>
      <c r="D23" s="1">
        <v>111.44</v>
      </c>
      <c r="E23" s="1">
        <v>21.87</v>
      </c>
      <c r="F23" s="2">
        <v>4</v>
      </c>
      <c r="G23" s="2">
        <v>1</v>
      </c>
      <c r="H23" s="2">
        <v>2</v>
      </c>
      <c r="I23" s="1">
        <v>1.9</v>
      </c>
      <c r="J23" t="s">
        <v>20</v>
      </c>
      <c r="K23" s="2">
        <f>CH[[#This Row],[Weight_kg]]/(CH[[#This Row],[Height_cm]]/100)^2</f>
        <v>17.610292772445963</v>
      </c>
      <c r="L23" s="6" t="str">
        <f>IF(CH[[#This Row],[1. BMI]]&lt;18,"Underweight",IF(CH[[#This Row],[1. BMI]]&lt;24.9,"Healthy Weight",IF(CH[[#This Row],[1. BMI]]&lt;29.9,"Overweight",IF(CH[[#This Row],[1. BMI]]&gt;=30,"obese","Overweight"))))</f>
        <v>Underweight</v>
      </c>
      <c r="M23" s="6" t="str">
        <f>IF(CH[[#This Row],[Age_Months]]&lt;=36,"24-36 Months",IF(CH[[#This Row],[Age_Months]]&lt;=48,"37-48 Months",IF(CH[[#This Row],[Age_Months]]&gt;48,"49-60 Months","37-48 Months")))</f>
        <v>49-60 Months</v>
      </c>
    </row>
    <row r="24" spans="1:13" x14ac:dyDescent="0.3">
      <c r="A24" t="s">
        <v>39</v>
      </c>
      <c r="B24">
        <v>46</v>
      </c>
      <c r="C24" t="s">
        <v>19</v>
      </c>
      <c r="D24" s="1">
        <v>103.85</v>
      </c>
      <c r="E24" s="1">
        <v>19.47</v>
      </c>
      <c r="F24" s="2">
        <v>2</v>
      </c>
      <c r="G24" s="2">
        <v>4</v>
      </c>
      <c r="H24" s="2">
        <v>3</v>
      </c>
      <c r="I24" s="1">
        <v>2.9</v>
      </c>
      <c r="J24" t="s">
        <v>20</v>
      </c>
      <c r="K24" s="2">
        <f>CH[[#This Row],[Weight_kg]]/(CH[[#This Row],[Height_cm]]/100)^2</f>
        <v>18.053148301698982</v>
      </c>
      <c r="L24" s="6" t="str">
        <f>IF(CH[[#This Row],[1. BMI]]&lt;18,"Underweight",IF(CH[[#This Row],[1. BMI]]&lt;24.9,"Healthy Weight",IF(CH[[#This Row],[1. BMI]]&lt;29.9,"Overweight",IF(CH[[#This Row],[1. BMI]]&gt;=30,"obese","Overweight"))))</f>
        <v>Healthy Weight</v>
      </c>
      <c r="M24" s="6" t="str">
        <f>IF(CH[[#This Row],[Age_Months]]&lt;=36,"24-36 Months",IF(CH[[#This Row],[Age_Months]]&lt;=48,"37-48 Months",IF(CH[[#This Row],[Age_Months]]&gt;48,"49-60 Months","37-48 Months")))</f>
        <v>37-48 Months</v>
      </c>
    </row>
    <row r="25" spans="1:13" x14ac:dyDescent="0.3">
      <c r="A25" t="s">
        <v>40</v>
      </c>
      <c r="B25">
        <v>35</v>
      </c>
      <c r="C25" t="s">
        <v>11</v>
      </c>
      <c r="D25" s="1">
        <v>102.67</v>
      </c>
      <c r="E25" s="1">
        <v>13.79</v>
      </c>
      <c r="F25" s="2">
        <v>4</v>
      </c>
      <c r="G25" s="2">
        <v>1</v>
      </c>
      <c r="H25" s="2">
        <v>1</v>
      </c>
      <c r="I25" s="1">
        <v>2</v>
      </c>
      <c r="J25" t="s">
        <v>14</v>
      </c>
      <c r="K25" s="2">
        <f>CH[[#This Row],[Weight_kg]]/(CH[[#This Row],[Height_cm]]/100)^2</f>
        <v>13.082090287312587</v>
      </c>
      <c r="L25" s="6" t="str">
        <f>IF(CH[[#This Row],[1. BMI]]&lt;18,"Underweight",IF(CH[[#This Row],[1. BMI]]&lt;24.9,"Healthy Weight",IF(CH[[#This Row],[1. BMI]]&lt;29.9,"Overweight",IF(CH[[#This Row],[1. BMI]]&gt;=30,"obese","Overweight"))))</f>
        <v>Underweight</v>
      </c>
      <c r="M25" s="6" t="str">
        <f>IF(CH[[#This Row],[Age_Months]]&lt;=36,"24-36 Months",IF(CH[[#This Row],[Age_Months]]&lt;=48,"37-48 Months",IF(CH[[#This Row],[Age_Months]]&gt;48,"49-60 Months","37-48 Months")))</f>
        <v>24-36 Months</v>
      </c>
    </row>
    <row r="26" spans="1:13" x14ac:dyDescent="0.3">
      <c r="A26" t="s">
        <v>41</v>
      </c>
      <c r="B26">
        <v>52</v>
      </c>
      <c r="C26" t="s">
        <v>19</v>
      </c>
      <c r="D26" s="1">
        <v>107.91</v>
      </c>
      <c r="E26" s="1">
        <v>19.27</v>
      </c>
      <c r="F26" s="2">
        <v>4</v>
      </c>
      <c r="G26" s="2">
        <v>0</v>
      </c>
      <c r="H26" s="2">
        <v>0</v>
      </c>
      <c r="I26" s="1">
        <v>0.8</v>
      </c>
      <c r="J26" t="s">
        <v>20</v>
      </c>
      <c r="K26" s="2">
        <f>CH[[#This Row],[Weight_kg]]/(CH[[#This Row],[Height_cm]]/100)^2</f>
        <v>16.548488389191526</v>
      </c>
      <c r="L26" s="6" t="str">
        <f>IF(CH[[#This Row],[1. BMI]]&lt;18,"Underweight",IF(CH[[#This Row],[1. BMI]]&lt;24.9,"Healthy Weight",IF(CH[[#This Row],[1. BMI]]&lt;29.9,"Overweight",IF(CH[[#This Row],[1. BMI]]&gt;=30,"obese","Overweight"))))</f>
        <v>Underweight</v>
      </c>
      <c r="M26" s="6" t="str">
        <f>IF(CH[[#This Row],[Age_Months]]&lt;=36,"24-36 Months",IF(CH[[#This Row],[Age_Months]]&lt;=48,"37-48 Months",IF(CH[[#This Row],[Age_Months]]&gt;48,"49-60 Months","37-48 Months")))</f>
        <v>49-60 Months</v>
      </c>
    </row>
    <row r="27" spans="1:13" x14ac:dyDescent="0.3">
      <c r="A27" t="s">
        <v>42</v>
      </c>
      <c r="B27">
        <v>30</v>
      </c>
      <c r="C27" t="s">
        <v>11</v>
      </c>
      <c r="D27" s="1">
        <v>96.67</v>
      </c>
      <c r="E27" s="1">
        <v>15.72</v>
      </c>
      <c r="F27" s="2">
        <v>3</v>
      </c>
      <c r="G27" s="2">
        <v>1</v>
      </c>
      <c r="H27" s="2">
        <v>2</v>
      </c>
      <c r="I27" s="1">
        <v>1.2</v>
      </c>
      <c r="J27" t="s">
        <v>24</v>
      </c>
      <c r="K27" s="2">
        <f>CH[[#This Row],[Weight_kg]]/(CH[[#This Row],[Height_cm]]/100)^2</f>
        <v>16.821669829165565</v>
      </c>
      <c r="L27" s="6" t="str">
        <f>IF(CH[[#This Row],[1. BMI]]&lt;18,"Underweight",IF(CH[[#This Row],[1. BMI]]&lt;24.9,"Healthy Weight",IF(CH[[#This Row],[1. BMI]]&lt;29.9,"Overweight",IF(CH[[#This Row],[1. BMI]]&gt;=30,"obese","Overweight"))))</f>
        <v>Underweight</v>
      </c>
      <c r="M27" s="6" t="str">
        <f>IF(CH[[#This Row],[Age_Months]]&lt;=36,"24-36 Months",IF(CH[[#This Row],[Age_Months]]&lt;=48,"37-48 Months",IF(CH[[#This Row],[Age_Months]]&gt;48,"49-60 Months","37-48 Months")))</f>
        <v>24-36 Months</v>
      </c>
    </row>
    <row r="28" spans="1:13" x14ac:dyDescent="0.3">
      <c r="A28" t="s">
        <v>43</v>
      </c>
      <c r="B28">
        <v>35</v>
      </c>
      <c r="C28" t="s">
        <v>19</v>
      </c>
      <c r="D28" s="1">
        <v>101.41</v>
      </c>
      <c r="E28" s="1">
        <v>19.45</v>
      </c>
      <c r="F28" s="2">
        <v>0</v>
      </c>
      <c r="G28" s="2">
        <v>4</v>
      </c>
      <c r="H28" s="2">
        <v>2</v>
      </c>
      <c r="I28" s="1">
        <v>1.9</v>
      </c>
      <c r="J28" t="s">
        <v>12</v>
      </c>
      <c r="K28" s="2">
        <f>CH[[#This Row],[Weight_kg]]/(CH[[#This Row],[Height_cm]]/100)^2</f>
        <v>18.912896252767929</v>
      </c>
      <c r="L28" s="6" t="str">
        <f>IF(CH[[#This Row],[1. BMI]]&lt;18,"Underweight",IF(CH[[#This Row],[1. BMI]]&lt;24.9,"Healthy Weight",IF(CH[[#This Row],[1. BMI]]&lt;29.9,"Overweight",IF(CH[[#This Row],[1. BMI]]&gt;=30,"obese","Overweight"))))</f>
        <v>Healthy Weight</v>
      </c>
      <c r="M28" s="6" t="str">
        <f>IF(CH[[#This Row],[Age_Months]]&lt;=36,"24-36 Months",IF(CH[[#This Row],[Age_Months]]&lt;=48,"37-48 Months",IF(CH[[#This Row],[Age_Months]]&gt;48,"49-60 Months","37-48 Months")))</f>
        <v>24-36 Months</v>
      </c>
    </row>
    <row r="29" spans="1:13" x14ac:dyDescent="0.3">
      <c r="A29" t="s">
        <v>44</v>
      </c>
      <c r="B29">
        <v>32</v>
      </c>
      <c r="C29" t="s">
        <v>11</v>
      </c>
      <c r="D29" s="1">
        <v>102.28</v>
      </c>
      <c r="E29" s="1">
        <v>11.75</v>
      </c>
      <c r="F29" s="2">
        <v>2</v>
      </c>
      <c r="G29" s="2">
        <v>1</v>
      </c>
      <c r="H29" s="2">
        <v>1</v>
      </c>
      <c r="I29" s="1">
        <v>1.3</v>
      </c>
      <c r="J29" t="s">
        <v>20</v>
      </c>
      <c r="K29" s="2">
        <f>CH[[#This Row],[Weight_kg]]/(CH[[#This Row],[Height_cm]]/100)^2</f>
        <v>11.23198275256877</v>
      </c>
      <c r="L29" s="6" t="str">
        <f>IF(CH[[#This Row],[1. BMI]]&lt;18,"Underweight",IF(CH[[#This Row],[1. BMI]]&lt;24.9,"Healthy Weight",IF(CH[[#This Row],[1. BMI]]&lt;29.9,"Overweight",IF(CH[[#This Row],[1. BMI]]&gt;=30,"obese","Overweight"))))</f>
        <v>Underweight</v>
      </c>
      <c r="M29" s="6" t="str">
        <f>IF(CH[[#This Row],[Age_Months]]&lt;=36,"24-36 Months",IF(CH[[#This Row],[Age_Months]]&lt;=48,"37-48 Months",IF(CH[[#This Row],[Age_Months]]&gt;48,"49-60 Months","37-48 Months")))</f>
        <v>24-36 Months</v>
      </c>
    </row>
    <row r="30" spans="1:13" x14ac:dyDescent="0.3">
      <c r="A30" t="s">
        <v>45</v>
      </c>
      <c r="B30">
        <v>46</v>
      </c>
      <c r="C30" t="s">
        <v>19</v>
      </c>
      <c r="D30" s="1">
        <v>105.06</v>
      </c>
      <c r="E30" s="1">
        <v>17.260000000000002</v>
      </c>
      <c r="F30" s="2">
        <v>4</v>
      </c>
      <c r="G30" s="2">
        <v>1</v>
      </c>
      <c r="H30" s="2">
        <v>2</v>
      </c>
      <c r="I30" s="1">
        <v>0.8</v>
      </c>
      <c r="J30" t="s">
        <v>14</v>
      </c>
      <c r="K30" s="2">
        <f>CH[[#This Row],[Weight_kg]]/(CH[[#This Row],[Height_cm]]/100)^2</f>
        <v>15.637452318001349</v>
      </c>
      <c r="L30" s="6" t="str">
        <f>IF(CH[[#This Row],[1. BMI]]&lt;18,"Underweight",IF(CH[[#This Row],[1. BMI]]&lt;24.9,"Healthy Weight",IF(CH[[#This Row],[1. BMI]]&lt;29.9,"Overweight",IF(CH[[#This Row],[1. BMI]]&gt;=30,"obese","Overweight"))))</f>
        <v>Underweight</v>
      </c>
      <c r="M30" s="6" t="str">
        <f>IF(CH[[#This Row],[Age_Months]]&lt;=36,"24-36 Months",IF(CH[[#This Row],[Age_Months]]&lt;=48,"37-48 Months",IF(CH[[#This Row],[Age_Months]]&gt;48,"49-60 Months","37-48 Months")))</f>
        <v>37-48 Months</v>
      </c>
    </row>
    <row r="31" spans="1:13" x14ac:dyDescent="0.3">
      <c r="A31" t="s">
        <v>46</v>
      </c>
      <c r="B31">
        <v>43</v>
      </c>
      <c r="C31" t="s">
        <v>19</v>
      </c>
      <c r="D31" s="1">
        <v>103.22</v>
      </c>
      <c r="E31" s="1">
        <v>20.74</v>
      </c>
      <c r="F31" s="2">
        <v>2</v>
      </c>
      <c r="G31" s="2">
        <v>2</v>
      </c>
      <c r="H31" s="2">
        <v>3</v>
      </c>
      <c r="I31" s="1">
        <v>2.1</v>
      </c>
      <c r="J31" t="s">
        <v>12</v>
      </c>
      <c r="K31" s="2">
        <f>CH[[#This Row],[Weight_kg]]/(CH[[#This Row],[Height_cm]]/100)^2</f>
        <v>19.466193791459283</v>
      </c>
      <c r="L31" s="6" t="str">
        <f>IF(CH[[#This Row],[1. BMI]]&lt;18,"Underweight",IF(CH[[#This Row],[1. BMI]]&lt;24.9,"Healthy Weight",IF(CH[[#This Row],[1. BMI]]&lt;29.9,"Overweight",IF(CH[[#This Row],[1. BMI]]&gt;=30,"obese","Overweight"))))</f>
        <v>Healthy Weight</v>
      </c>
      <c r="M31" s="6" t="str">
        <f>IF(CH[[#This Row],[Age_Months]]&lt;=36,"24-36 Months",IF(CH[[#This Row],[Age_Months]]&lt;=48,"37-48 Months",IF(CH[[#This Row],[Age_Months]]&gt;48,"49-60 Months","37-48 Months")))</f>
        <v>37-48 Months</v>
      </c>
    </row>
    <row r="32" spans="1:13" x14ac:dyDescent="0.3">
      <c r="A32" t="s">
        <v>47</v>
      </c>
      <c r="B32">
        <v>46</v>
      </c>
      <c r="C32" t="s">
        <v>11</v>
      </c>
      <c r="D32" s="1">
        <v>105.42</v>
      </c>
      <c r="E32" s="1">
        <v>20.23</v>
      </c>
      <c r="F32" s="2">
        <v>4</v>
      </c>
      <c r="G32" s="2">
        <v>0</v>
      </c>
      <c r="H32" s="2">
        <v>2</v>
      </c>
      <c r="I32" s="1">
        <v>2.2999999999999998</v>
      </c>
      <c r="J32" t="s">
        <v>27</v>
      </c>
      <c r="K32" s="2">
        <f>CH[[#This Row],[Weight_kg]]/(CH[[#This Row],[Height_cm]]/100)^2</f>
        <v>18.203288786295403</v>
      </c>
      <c r="L32" s="6" t="str">
        <f>IF(CH[[#This Row],[1. BMI]]&lt;18,"Underweight",IF(CH[[#This Row],[1. BMI]]&lt;24.9,"Healthy Weight",IF(CH[[#This Row],[1. BMI]]&lt;29.9,"Overweight",IF(CH[[#This Row],[1. BMI]]&gt;=30,"obese","Overweight"))))</f>
        <v>Healthy Weight</v>
      </c>
      <c r="M32" s="6" t="str">
        <f>IF(CH[[#This Row],[Age_Months]]&lt;=36,"24-36 Months",IF(CH[[#This Row],[Age_Months]]&lt;=48,"37-48 Months",IF(CH[[#This Row],[Age_Months]]&gt;48,"49-60 Months","37-48 Months")))</f>
        <v>37-48 Months</v>
      </c>
    </row>
    <row r="33" spans="1:13" x14ac:dyDescent="0.3">
      <c r="A33" t="s">
        <v>48</v>
      </c>
      <c r="B33">
        <v>32</v>
      </c>
      <c r="C33" t="s">
        <v>19</v>
      </c>
      <c r="D33" s="1">
        <v>97.29</v>
      </c>
      <c r="E33" s="1">
        <v>12.89</v>
      </c>
      <c r="F33" s="2">
        <v>4</v>
      </c>
      <c r="G33" s="2">
        <v>2</v>
      </c>
      <c r="H33" s="2">
        <v>2</v>
      </c>
      <c r="I33" s="1">
        <v>1.3</v>
      </c>
      <c r="J33" t="s">
        <v>14</v>
      </c>
      <c r="K33" s="2">
        <f>CH[[#This Row],[Weight_kg]]/(CH[[#This Row],[Height_cm]]/100)^2</f>
        <v>13.618099737124188</v>
      </c>
      <c r="L33" s="6" t="str">
        <f>IF(CH[[#This Row],[1. BMI]]&lt;18,"Underweight",IF(CH[[#This Row],[1. BMI]]&lt;24.9,"Healthy Weight",IF(CH[[#This Row],[1. BMI]]&lt;29.9,"Overweight",IF(CH[[#This Row],[1. BMI]]&gt;=30,"obese","Overweight"))))</f>
        <v>Underweight</v>
      </c>
      <c r="M33" s="6" t="str">
        <f>IF(CH[[#This Row],[Age_Months]]&lt;=36,"24-36 Months",IF(CH[[#This Row],[Age_Months]]&lt;=48,"37-48 Months",IF(CH[[#This Row],[Age_Months]]&gt;48,"49-60 Months","37-48 Months")))</f>
        <v>24-36 Months</v>
      </c>
    </row>
    <row r="34" spans="1:13" x14ac:dyDescent="0.3">
      <c r="A34" t="s">
        <v>49</v>
      </c>
      <c r="B34">
        <v>46</v>
      </c>
      <c r="C34" t="s">
        <v>19</v>
      </c>
      <c r="D34" s="1">
        <v>106.22</v>
      </c>
      <c r="E34" s="1">
        <v>19.48</v>
      </c>
      <c r="F34" s="2">
        <v>4</v>
      </c>
      <c r="G34" s="2">
        <v>3</v>
      </c>
      <c r="H34" s="2">
        <v>0</v>
      </c>
      <c r="I34" s="1">
        <v>0.7</v>
      </c>
      <c r="J34" t="s">
        <v>12</v>
      </c>
      <c r="K34" s="2">
        <f>CH[[#This Row],[Weight_kg]]/(CH[[#This Row],[Height_cm]]/100)^2</f>
        <v>17.26538862847617</v>
      </c>
      <c r="L34" s="6" t="str">
        <f>IF(CH[[#This Row],[1. BMI]]&lt;18,"Underweight",IF(CH[[#This Row],[1. BMI]]&lt;24.9,"Healthy Weight",IF(CH[[#This Row],[1. BMI]]&lt;29.9,"Overweight",IF(CH[[#This Row],[1. BMI]]&gt;=30,"obese","Overweight"))))</f>
        <v>Underweight</v>
      </c>
      <c r="M34" s="6" t="str">
        <f>IF(CH[[#This Row],[Age_Months]]&lt;=36,"24-36 Months",IF(CH[[#This Row],[Age_Months]]&lt;=48,"37-48 Months",IF(CH[[#This Row],[Age_Months]]&gt;48,"49-60 Months","37-48 Months")))</f>
        <v>37-48 Months</v>
      </c>
    </row>
    <row r="35" spans="1:13" x14ac:dyDescent="0.3">
      <c r="A35" t="s">
        <v>50</v>
      </c>
      <c r="B35">
        <v>56</v>
      </c>
      <c r="C35" t="s">
        <v>11</v>
      </c>
      <c r="D35" s="1">
        <v>114.63</v>
      </c>
      <c r="E35" s="1">
        <v>20.11</v>
      </c>
      <c r="F35" s="2">
        <v>2</v>
      </c>
      <c r="G35" s="2">
        <v>1</v>
      </c>
      <c r="H35" s="2">
        <v>0</v>
      </c>
      <c r="I35" s="1">
        <v>0.8</v>
      </c>
      <c r="J35" t="s">
        <v>27</v>
      </c>
      <c r="K35" s="2">
        <f>CH[[#This Row],[Weight_kg]]/(CH[[#This Row],[Height_cm]]/100)^2</f>
        <v>15.304371025015923</v>
      </c>
      <c r="L35" s="6" t="str">
        <f>IF(CH[[#This Row],[1. BMI]]&lt;18,"Underweight",IF(CH[[#This Row],[1. BMI]]&lt;24.9,"Healthy Weight",IF(CH[[#This Row],[1. BMI]]&lt;29.9,"Overweight",IF(CH[[#This Row],[1. BMI]]&gt;=30,"obese","Overweight"))))</f>
        <v>Underweight</v>
      </c>
      <c r="M35" s="6" t="str">
        <f>IF(CH[[#This Row],[Age_Months]]&lt;=36,"24-36 Months",IF(CH[[#This Row],[Age_Months]]&lt;=48,"37-48 Months",IF(CH[[#This Row],[Age_Months]]&gt;48,"49-60 Months","37-48 Months")))</f>
        <v>49-60 Months</v>
      </c>
    </row>
    <row r="36" spans="1:13" x14ac:dyDescent="0.3">
      <c r="A36" t="s">
        <v>51</v>
      </c>
      <c r="B36">
        <v>30</v>
      </c>
      <c r="C36" t="s">
        <v>11</v>
      </c>
      <c r="D36" s="1">
        <v>93.15</v>
      </c>
      <c r="E36" s="1">
        <v>14.24</v>
      </c>
      <c r="F36" s="2">
        <v>1</v>
      </c>
      <c r="G36" s="2">
        <v>1</v>
      </c>
      <c r="H36" s="2">
        <v>2</v>
      </c>
      <c r="I36" s="1">
        <v>1.3</v>
      </c>
      <c r="J36" t="s">
        <v>14</v>
      </c>
      <c r="K36" s="2">
        <f>CH[[#This Row],[Weight_kg]]/(CH[[#This Row],[Height_cm]]/100)^2</f>
        <v>16.411348608910586</v>
      </c>
      <c r="L36" s="6" t="str">
        <f>IF(CH[[#This Row],[1. BMI]]&lt;18,"Underweight",IF(CH[[#This Row],[1. BMI]]&lt;24.9,"Healthy Weight",IF(CH[[#This Row],[1. BMI]]&lt;29.9,"Overweight",IF(CH[[#This Row],[1. BMI]]&gt;=30,"obese","Overweight"))))</f>
        <v>Underweight</v>
      </c>
      <c r="M36" s="6" t="str">
        <f>IF(CH[[#This Row],[Age_Months]]&lt;=36,"24-36 Months",IF(CH[[#This Row],[Age_Months]]&lt;=48,"37-48 Months",IF(CH[[#This Row],[Age_Months]]&gt;48,"49-60 Months","37-48 Months")))</f>
        <v>24-36 Months</v>
      </c>
    </row>
    <row r="37" spans="1:13" x14ac:dyDescent="0.3">
      <c r="A37" t="s">
        <v>52</v>
      </c>
      <c r="B37">
        <v>44</v>
      </c>
      <c r="C37" t="s">
        <v>11</v>
      </c>
      <c r="D37" s="1">
        <v>102.36</v>
      </c>
      <c r="E37" s="1">
        <v>19.600000000000001</v>
      </c>
      <c r="F37" s="2">
        <v>1</v>
      </c>
      <c r="G37" s="2">
        <v>2</v>
      </c>
      <c r="H37" s="2">
        <v>0</v>
      </c>
      <c r="I37" s="1">
        <v>0.9</v>
      </c>
      <c r="J37" t="s">
        <v>27</v>
      </c>
      <c r="K37" s="2">
        <f>CH[[#This Row],[Weight_kg]]/(CH[[#This Row],[Height_cm]]/100)^2</f>
        <v>18.706628300517327</v>
      </c>
      <c r="L37" s="6" t="str">
        <f>IF(CH[[#This Row],[1. BMI]]&lt;18,"Underweight",IF(CH[[#This Row],[1. BMI]]&lt;24.9,"Healthy Weight",IF(CH[[#This Row],[1. BMI]]&lt;29.9,"Overweight",IF(CH[[#This Row],[1. BMI]]&gt;=30,"obese","Overweight"))))</f>
        <v>Healthy Weight</v>
      </c>
      <c r="M37" s="6" t="str">
        <f>IF(CH[[#This Row],[Age_Months]]&lt;=36,"24-36 Months",IF(CH[[#This Row],[Age_Months]]&lt;=48,"37-48 Months",IF(CH[[#This Row],[Age_Months]]&gt;48,"49-60 Months","37-48 Months")))</f>
        <v>37-48 Months</v>
      </c>
    </row>
    <row r="38" spans="1:13" x14ac:dyDescent="0.3">
      <c r="A38" t="s">
        <v>53</v>
      </c>
      <c r="B38">
        <v>43</v>
      </c>
      <c r="C38" t="s">
        <v>11</v>
      </c>
      <c r="D38" s="1">
        <v>105.34</v>
      </c>
      <c r="E38" s="1">
        <v>14.14</v>
      </c>
      <c r="F38" s="2">
        <v>4</v>
      </c>
      <c r="G38" s="2">
        <v>3</v>
      </c>
      <c r="H38" s="2">
        <v>0</v>
      </c>
      <c r="I38" s="1">
        <v>0.8</v>
      </c>
      <c r="J38" t="s">
        <v>20</v>
      </c>
      <c r="K38" s="2">
        <f>CH[[#This Row],[Weight_kg]]/(CH[[#This Row],[Height_cm]]/100)^2</f>
        <v>12.742738810730817</v>
      </c>
      <c r="L38" s="6" t="str">
        <f>IF(CH[[#This Row],[1. BMI]]&lt;18,"Underweight",IF(CH[[#This Row],[1. BMI]]&lt;24.9,"Healthy Weight",IF(CH[[#This Row],[1. BMI]]&lt;29.9,"Overweight",IF(CH[[#This Row],[1. BMI]]&gt;=30,"obese","Overweight"))))</f>
        <v>Underweight</v>
      </c>
      <c r="M38" s="6" t="str">
        <f>IF(CH[[#This Row],[Age_Months]]&lt;=36,"24-36 Months",IF(CH[[#This Row],[Age_Months]]&lt;=48,"37-48 Months",IF(CH[[#This Row],[Age_Months]]&gt;48,"49-60 Months","37-48 Months")))</f>
        <v>37-48 Months</v>
      </c>
    </row>
    <row r="39" spans="1:13" x14ac:dyDescent="0.3">
      <c r="A39" t="s">
        <v>54</v>
      </c>
      <c r="B39">
        <v>31</v>
      </c>
      <c r="C39" t="s">
        <v>11</v>
      </c>
      <c r="D39" s="1">
        <v>96.26</v>
      </c>
      <c r="E39" s="1">
        <v>17.63</v>
      </c>
      <c r="F39" s="2">
        <v>3</v>
      </c>
      <c r="G39" s="2">
        <v>3</v>
      </c>
      <c r="H39" s="2">
        <v>2</v>
      </c>
      <c r="I39" s="1">
        <v>1.7</v>
      </c>
      <c r="J39" t="s">
        <v>20</v>
      </c>
      <c r="K39" s="2">
        <f>CH[[#This Row],[Weight_kg]]/(CH[[#This Row],[Height_cm]]/100)^2</f>
        <v>19.026574134418222</v>
      </c>
      <c r="L39" s="6" t="str">
        <f>IF(CH[[#This Row],[1. BMI]]&lt;18,"Underweight",IF(CH[[#This Row],[1. BMI]]&lt;24.9,"Healthy Weight",IF(CH[[#This Row],[1. BMI]]&lt;29.9,"Overweight",IF(CH[[#This Row],[1. BMI]]&gt;=30,"obese","Overweight"))))</f>
        <v>Healthy Weight</v>
      </c>
      <c r="M39" s="6" t="str">
        <f>IF(CH[[#This Row],[Age_Months]]&lt;=36,"24-36 Months",IF(CH[[#This Row],[Age_Months]]&lt;=48,"37-48 Months",IF(CH[[#This Row],[Age_Months]]&gt;48,"49-60 Months","37-48 Months")))</f>
        <v>24-36 Months</v>
      </c>
    </row>
    <row r="40" spans="1:13" x14ac:dyDescent="0.3">
      <c r="A40" t="s">
        <v>55</v>
      </c>
      <c r="B40">
        <v>28</v>
      </c>
      <c r="C40" t="s">
        <v>19</v>
      </c>
      <c r="D40" s="1">
        <v>97.25</v>
      </c>
      <c r="E40" s="1">
        <v>14.98</v>
      </c>
      <c r="F40" s="2">
        <v>3</v>
      </c>
      <c r="G40" s="2">
        <v>4</v>
      </c>
      <c r="H40" s="2">
        <v>3</v>
      </c>
      <c r="I40" s="1">
        <v>3.2</v>
      </c>
      <c r="J40" t="s">
        <v>14</v>
      </c>
      <c r="K40" s="2">
        <f>CH[[#This Row],[Weight_kg]]/(CH[[#This Row],[Height_cm]]/100)^2</f>
        <v>15.839176320537135</v>
      </c>
      <c r="L40" s="6" t="str">
        <f>IF(CH[[#This Row],[1. BMI]]&lt;18,"Underweight",IF(CH[[#This Row],[1. BMI]]&lt;24.9,"Healthy Weight",IF(CH[[#This Row],[1. BMI]]&lt;29.9,"Overweight",IF(CH[[#This Row],[1. BMI]]&gt;=30,"obese","Overweight"))))</f>
        <v>Underweight</v>
      </c>
      <c r="M40" s="6" t="str">
        <f>IF(CH[[#This Row],[Age_Months]]&lt;=36,"24-36 Months",IF(CH[[#This Row],[Age_Months]]&lt;=48,"37-48 Months",IF(CH[[#This Row],[Age_Months]]&gt;48,"49-60 Months","37-48 Months")))</f>
        <v>24-36 Months</v>
      </c>
    </row>
    <row r="41" spans="1:13" x14ac:dyDescent="0.3">
      <c r="A41" t="s">
        <v>56</v>
      </c>
      <c r="B41">
        <v>48</v>
      </c>
      <c r="C41" t="s">
        <v>19</v>
      </c>
      <c r="D41" s="1">
        <v>108.23</v>
      </c>
      <c r="E41" s="1">
        <v>21</v>
      </c>
      <c r="F41" s="2">
        <v>3</v>
      </c>
      <c r="G41" s="2">
        <v>4</v>
      </c>
      <c r="H41" s="2">
        <v>0</v>
      </c>
      <c r="I41" s="1">
        <v>0.6</v>
      </c>
      <c r="J41" t="s">
        <v>14</v>
      </c>
      <c r="K41" s="2">
        <f>CH[[#This Row],[Weight_kg]]/(CH[[#This Row],[Height_cm]]/100)^2</f>
        <v>17.927675301525785</v>
      </c>
      <c r="L41" s="6" t="str">
        <f>IF(CH[[#This Row],[1. BMI]]&lt;18,"Underweight",IF(CH[[#This Row],[1. BMI]]&lt;24.9,"Healthy Weight",IF(CH[[#This Row],[1. BMI]]&lt;29.9,"Overweight",IF(CH[[#This Row],[1. BMI]]&gt;=30,"obese","Overweight"))))</f>
        <v>Underweight</v>
      </c>
      <c r="M41" s="6" t="str">
        <f>IF(CH[[#This Row],[Age_Months]]&lt;=36,"24-36 Months",IF(CH[[#This Row],[Age_Months]]&lt;=48,"37-48 Months",IF(CH[[#This Row],[Age_Months]]&gt;48,"49-60 Months","37-48 Months")))</f>
        <v>37-48 Months</v>
      </c>
    </row>
    <row r="42" spans="1:13" x14ac:dyDescent="0.3">
      <c r="A42" t="s">
        <v>57</v>
      </c>
      <c r="B42">
        <v>27</v>
      </c>
      <c r="C42" t="s">
        <v>19</v>
      </c>
      <c r="D42" s="1">
        <v>97</v>
      </c>
      <c r="E42" s="1">
        <v>15.12</v>
      </c>
      <c r="F42" s="2">
        <v>4</v>
      </c>
      <c r="G42" s="2">
        <v>0</v>
      </c>
      <c r="H42" s="2">
        <v>1</v>
      </c>
      <c r="I42" s="1">
        <v>1.7</v>
      </c>
      <c r="J42" t="s">
        <v>24</v>
      </c>
      <c r="K42" s="2">
        <f>CH[[#This Row],[Weight_kg]]/(CH[[#This Row],[Height_cm]]/100)^2</f>
        <v>16.069720480391116</v>
      </c>
      <c r="L42" s="6" t="str">
        <f>IF(CH[[#This Row],[1. BMI]]&lt;18,"Underweight",IF(CH[[#This Row],[1. BMI]]&lt;24.9,"Healthy Weight",IF(CH[[#This Row],[1. BMI]]&lt;29.9,"Overweight",IF(CH[[#This Row],[1. BMI]]&gt;=30,"obese","Overweight"))))</f>
        <v>Underweight</v>
      </c>
      <c r="M42" s="6" t="str">
        <f>IF(CH[[#This Row],[Age_Months]]&lt;=36,"24-36 Months",IF(CH[[#This Row],[Age_Months]]&lt;=48,"37-48 Months",IF(CH[[#This Row],[Age_Months]]&gt;48,"49-60 Months","37-48 Months")))</f>
        <v>24-36 Months</v>
      </c>
    </row>
    <row r="43" spans="1:13" x14ac:dyDescent="0.3">
      <c r="A43" t="s">
        <v>58</v>
      </c>
      <c r="B43">
        <v>45</v>
      </c>
      <c r="C43" t="s">
        <v>19</v>
      </c>
      <c r="D43" s="1">
        <v>107.27</v>
      </c>
      <c r="E43" s="1">
        <v>22.7</v>
      </c>
      <c r="F43" s="2">
        <v>4</v>
      </c>
      <c r="G43" s="2">
        <v>0</v>
      </c>
      <c r="H43" s="2">
        <v>0</v>
      </c>
      <c r="I43" s="1">
        <v>0.8</v>
      </c>
      <c r="J43" t="s">
        <v>12</v>
      </c>
      <c r="K43" s="2">
        <f>CH[[#This Row],[Weight_kg]]/(CH[[#This Row],[Height_cm]]/100)^2</f>
        <v>19.727374806364303</v>
      </c>
      <c r="L43" s="6" t="str">
        <f>IF(CH[[#This Row],[1. BMI]]&lt;18,"Underweight",IF(CH[[#This Row],[1. BMI]]&lt;24.9,"Healthy Weight",IF(CH[[#This Row],[1. BMI]]&lt;29.9,"Overweight",IF(CH[[#This Row],[1. BMI]]&gt;=30,"obese","Overweight"))))</f>
        <v>Healthy Weight</v>
      </c>
      <c r="M43" s="6" t="str">
        <f>IF(CH[[#This Row],[Age_Months]]&lt;=36,"24-36 Months",IF(CH[[#This Row],[Age_Months]]&lt;=48,"37-48 Months",IF(CH[[#This Row],[Age_Months]]&gt;48,"49-60 Months","37-48 Months")))</f>
        <v>37-48 Months</v>
      </c>
    </row>
    <row r="44" spans="1:13" x14ac:dyDescent="0.3">
      <c r="A44" t="s">
        <v>59</v>
      </c>
      <c r="B44">
        <v>54</v>
      </c>
      <c r="C44" t="s">
        <v>19</v>
      </c>
      <c r="D44" s="1">
        <v>112.46</v>
      </c>
      <c r="E44" s="1">
        <v>21.36</v>
      </c>
      <c r="F44" s="2">
        <v>2</v>
      </c>
      <c r="G44" s="2">
        <v>0</v>
      </c>
      <c r="H44" s="2">
        <v>1</v>
      </c>
      <c r="I44" s="1">
        <v>1</v>
      </c>
      <c r="J44" t="s">
        <v>14</v>
      </c>
      <c r="K44" s="2">
        <f>CH[[#This Row],[Weight_kg]]/(CH[[#This Row],[Height_cm]]/100)^2</f>
        <v>16.889044889405064</v>
      </c>
      <c r="L44" s="6" t="str">
        <f>IF(CH[[#This Row],[1. BMI]]&lt;18,"Underweight",IF(CH[[#This Row],[1. BMI]]&lt;24.9,"Healthy Weight",IF(CH[[#This Row],[1. BMI]]&lt;29.9,"Overweight",IF(CH[[#This Row],[1. BMI]]&gt;=30,"obese","Overweight"))))</f>
        <v>Underweight</v>
      </c>
      <c r="M44" s="6" t="str">
        <f>IF(CH[[#This Row],[Age_Months]]&lt;=36,"24-36 Months",IF(CH[[#This Row],[Age_Months]]&lt;=48,"37-48 Months",IF(CH[[#This Row],[Age_Months]]&gt;48,"49-60 Months","37-48 Months")))</f>
        <v>49-60 Months</v>
      </c>
    </row>
    <row r="45" spans="1:13" x14ac:dyDescent="0.3">
      <c r="A45" t="s">
        <v>60</v>
      </c>
      <c r="B45">
        <v>40</v>
      </c>
      <c r="C45" t="s">
        <v>19</v>
      </c>
      <c r="D45" s="1">
        <v>103.32</v>
      </c>
      <c r="E45" s="1">
        <v>17.41</v>
      </c>
      <c r="F45" s="2">
        <v>1</v>
      </c>
      <c r="G45" s="2">
        <v>0</v>
      </c>
      <c r="H45" s="2">
        <v>2</v>
      </c>
      <c r="I45" s="1">
        <v>2</v>
      </c>
      <c r="J45" t="s">
        <v>20</v>
      </c>
      <c r="K45" s="2">
        <f>CH[[#This Row],[Weight_kg]]/(CH[[#This Row],[Height_cm]]/100)^2</f>
        <v>16.309099267089127</v>
      </c>
      <c r="L45" s="6" t="str">
        <f>IF(CH[[#This Row],[1. BMI]]&lt;18,"Underweight",IF(CH[[#This Row],[1. BMI]]&lt;24.9,"Healthy Weight",IF(CH[[#This Row],[1. BMI]]&lt;29.9,"Overweight",IF(CH[[#This Row],[1. BMI]]&gt;=30,"obese","Overweight"))))</f>
        <v>Underweight</v>
      </c>
      <c r="M45" s="6" t="str">
        <f>IF(CH[[#This Row],[Age_Months]]&lt;=36,"24-36 Months",IF(CH[[#This Row],[Age_Months]]&lt;=48,"37-48 Months",IF(CH[[#This Row],[Age_Months]]&gt;48,"49-60 Months","37-48 Months")))</f>
        <v>37-48 Months</v>
      </c>
    </row>
    <row r="46" spans="1:13" x14ac:dyDescent="0.3">
      <c r="A46" t="s">
        <v>61</v>
      </c>
      <c r="B46">
        <v>52</v>
      </c>
      <c r="C46" t="s">
        <v>11</v>
      </c>
      <c r="D46" s="1">
        <v>107.31</v>
      </c>
      <c r="E46" s="1">
        <v>17.34</v>
      </c>
      <c r="F46" s="2">
        <v>1</v>
      </c>
      <c r="G46" s="2">
        <v>3</v>
      </c>
      <c r="H46" s="2">
        <v>0</v>
      </c>
      <c r="I46" s="1">
        <v>0.5</v>
      </c>
      <c r="J46" t="s">
        <v>24</v>
      </c>
      <c r="K46" s="2">
        <f>CH[[#This Row],[Weight_kg]]/(CH[[#This Row],[Height_cm]]/100)^2</f>
        <v>15.058048908803379</v>
      </c>
      <c r="L46" s="6" t="str">
        <f>IF(CH[[#This Row],[1. BMI]]&lt;18,"Underweight",IF(CH[[#This Row],[1. BMI]]&lt;24.9,"Healthy Weight",IF(CH[[#This Row],[1. BMI]]&lt;29.9,"Overweight",IF(CH[[#This Row],[1. BMI]]&gt;=30,"obese","Overweight"))))</f>
        <v>Underweight</v>
      </c>
      <c r="M46" s="6" t="str">
        <f>IF(CH[[#This Row],[Age_Months]]&lt;=36,"24-36 Months",IF(CH[[#This Row],[Age_Months]]&lt;=48,"37-48 Months",IF(CH[[#This Row],[Age_Months]]&gt;48,"49-60 Months","37-48 Months")))</f>
        <v>49-60 Months</v>
      </c>
    </row>
    <row r="47" spans="1:13" x14ac:dyDescent="0.3">
      <c r="A47" t="s">
        <v>62</v>
      </c>
      <c r="B47">
        <v>34</v>
      </c>
      <c r="C47" t="s">
        <v>19</v>
      </c>
      <c r="D47" s="1">
        <v>99.12</v>
      </c>
      <c r="E47" s="1">
        <v>17.43</v>
      </c>
      <c r="F47" s="2">
        <v>3</v>
      </c>
      <c r="G47" s="2">
        <v>4</v>
      </c>
      <c r="H47" s="2">
        <v>3</v>
      </c>
      <c r="I47" s="1">
        <v>1.6</v>
      </c>
      <c r="J47" t="s">
        <v>12</v>
      </c>
      <c r="K47" s="2">
        <f>CH[[#This Row],[Weight_kg]]/(CH[[#This Row],[Height_cm]]/100)^2</f>
        <v>17.740865378038603</v>
      </c>
      <c r="L47" s="6" t="str">
        <f>IF(CH[[#This Row],[1. BMI]]&lt;18,"Underweight",IF(CH[[#This Row],[1. BMI]]&lt;24.9,"Healthy Weight",IF(CH[[#This Row],[1. BMI]]&lt;29.9,"Overweight",IF(CH[[#This Row],[1. BMI]]&gt;=30,"obese","Overweight"))))</f>
        <v>Underweight</v>
      </c>
      <c r="M47" s="6" t="str">
        <f>IF(CH[[#This Row],[Age_Months]]&lt;=36,"24-36 Months",IF(CH[[#This Row],[Age_Months]]&lt;=48,"37-48 Months",IF(CH[[#This Row],[Age_Months]]&gt;48,"49-60 Months","37-48 Months")))</f>
        <v>24-36 Months</v>
      </c>
    </row>
    <row r="48" spans="1:13" x14ac:dyDescent="0.3">
      <c r="A48" t="s">
        <v>63</v>
      </c>
      <c r="B48">
        <v>27</v>
      </c>
      <c r="C48" t="s">
        <v>19</v>
      </c>
      <c r="D48" s="1">
        <v>93.16</v>
      </c>
      <c r="E48" s="1">
        <v>15.53</v>
      </c>
      <c r="F48" s="2">
        <v>2</v>
      </c>
      <c r="G48" s="2">
        <v>2</v>
      </c>
      <c r="H48" s="2">
        <v>0</v>
      </c>
      <c r="I48" s="1">
        <v>0.8</v>
      </c>
      <c r="J48" t="s">
        <v>14</v>
      </c>
      <c r="K48" s="2">
        <f>CH[[#This Row],[Weight_kg]]/(CH[[#This Row],[Height_cm]]/100)^2</f>
        <v>17.89420860909388</v>
      </c>
      <c r="L48" s="6" t="str">
        <f>IF(CH[[#This Row],[1. BMI]]&lt;18,"Underweight",IF(CH[[#This Row],[1. BMI]]&lt;24.9,"Healthy Weight",IF(CH[[#This Row],[1. BMI]]&lt;29.9,"Overweight",IF(CH[[#This Row],[1. BMI]]&gt;=30,"obese","Overweight"))))</f>
        <v>Underweight</v>
      </c>
      <c r="M48" s="6" t="str">
        <f>IF(CH[[#This Row],[Age_Months]]&lt;=36,"24-36 Months",IF(CH[[#This Row],[Age_Months]]&lt;=48,"37-48 Months",IF(CH[[#This Row],[Age_Months]]&gt;48,"49-60 Months","37-48 Months")))</f>
        <v>24-36 Months</v>
      </c>
    </row>
    <row r="49" spans="1:13" x14ac:dyDescent="0.3">
      <c r="A49" t="s">
        <v>64</v>
      </c>
      <c r="B49">
        <v>55</v>
      </c>
      <c r="C49" t="s">
        <v>19</v>
      </c>
      <c r="D49" s="1">
        <v>111.49</v>
      </c>
      <c r="E49" s="1">
        <v>20.23</v>
      </c>
      <c r="F49" s="2">
        <v>1</v>
      </c>
      <c r="G49" s="2">
        <v>0</v>
      </c>
      <c r="H49" s="2">
        <v>1</v>
      </c>
      <c r="I49" s="1">
        <v>1.6</v>
      </c>
      <c r="J49" t="s">
        <v>24</v>
      </c>
      <c r="K49" s="2">
        <f>CH[[#This Row],[Weight_kg]]/(CH[[#This Row],[Height_cm]]/100)^2</f>
        <v>16.27511447065158</v>
      </c>
      <c r="L49" s="6" t="str">
        <f>IF(CH[[#This Row],[1. BMI]]&lt;18,"Underweight",IF(CH[[#This Row],[1. BMI]]&lt;24.9,"Healthy Weight",IF(CH[[#This Row],[1. BMI]]&lt;29.9,"Overweight",IF(CH[[#This Row],[1. BMI]]&gt;=30,"obese","Overweight"))))</f>
        <v>Underweight</v>
      </c>
      <c r="M49" s="6" t="str">
        <f>IF(CH[[#This Row],[Age_Months]]&lt;=36,"24-36 Months",IF(CH[[#This Row],[Age_Months]]&lt;=48,"37-48 Months",IF(CH[[#This Row],[Age_Months]]&gt;48,"49-60 Months","37-48 Months")))</f>
        <v>49-60 Months</v>
      </c>
    </row>
    <row r="50" spans="1:13" x14ac:dyDescent="0.3">
      <c r="A50" t="s">
        <v>65</v>
      </c>
      <c r="B50">
        <v>42</v>
      </c>
      <c r="C50" t="s">
        <v>11</v>
      </c>
      <c r="D50" s="1">
        <v>108.71</v>
      </c>
      <c r="E50" s="1">
        <v>16.2</v>
      </c>
      <c r="F50" s="2">
        <v>2</v>
      </c>
      <c r="G50" s="2">
        <v>1</v>
      </c>
      <c r="H50" s="2">
        <v>3</v>
      </c>
      <c r="I50" s="1">
        <v>1.1000000000000001</v>
      </c>
      <c r="J50" t="s">
        <v>24</v>
      </c>
      <c r="K50" s="2">
        <f>CH[[#This Row],[Weight_kg]]/(CH[[#This Row],[Height_cm]]/100)^2</f>
        <v>13.708060833090812</v>
      </c>
      <c r="L50" s="6" t="str">
        <f>IF(CH[[#This Row],[1. BMI]]&lt;18,"Underweight",IF(CH[[#This Row],[1. BMI]]&lt;24.9,"Healthy Weight",IF(CH[[#This Row],[1. BMI]]&lt;29.9,"Overweight",IF(CH[[#This Row],[1. BMI]]&gt;=30,"obese","Overweight"))))</f>
        <v>Underweight</v>
      </c>
      <c r="M50" s="6" t="str">
        <f>IF(CH[[#This Row],[Age_Months]]&lt;=36,"24-36 Months",IF(CH[[#This Row],[Age_Months]]&lt;=48,"37-48 Months",IF(CH[[#This Row],[Age_Months]]&gt;48,"49-60 Months","37-48 Months")))</f>
        <v>37-48 Months</v>
      </c>
    </row>
    <row r="51" spans="1:13" x14ac:dyDescent="0.3">
      <c r="A51" t="s">
        <v>66</v>
      </c>
      <c r="B51">
        <v>36</v>
      </c>
      <c r="C51" t="s">
        <v>11</v>
      </c>
      <c r="D51" s="1">
        <v>97.21</v>
      </c>
      <c r="E51" s="1">
        <v>13.41</v>
      </c>
      <c r="F51" s="2">
        <v>4</v>
      </c>
      <c r="G51" s="2">
        <v>3</v>
      </c>
      <c r="H51" s="2">
        <v>1</v>
      </c>
      <c r="I51" s="1">
        <v>0.9</v>
      </c>
      <c r="J51" t="s">
        <v>14</v>
      </c>
      <c r="K51" s="2">
        <f>CH[[#This Row],[Weight_kg]]/(CH[[#This Row],[Height_cm]]/100)^2</f>
        <v>14.190800401461026</v>
      </c>
      <c r="L51" s="6" t="str">
        <f>IF(CH[[#This Row],[1. BMI]]&lt;18,"Underweight",IF(CH[[#This Row],[1. BMI]]&lt;24.9,"Healthy Weight",IF(CH[[#This Row],[1. BMI]]&lt;29.9,"Overweight",IF(CH[[#This Row],[1. BMI]]&gt;=30,"obese","Overweight"))))</f>
        <v>Underweight</v>
      </c>
      <c r="M51" s="6" t="str">
        <f>IF(CH[[#This Row],[Age_Months]]&lt;=36,"24-36 Months",IF(CH[[#This Row],[Age_Months]]&lt;=48,"37-48 Months",IF(CH[[#This Row],[Age_Months]]&gt;48,"49-60 Months","37-48 Months")))</f>
        <v>24-36 Months</v>
      </c>
    </row>
    <row r="52" spans="1:13" x14ac:dyDescent="0.3">
      <c r="A52" t="s">
        <v>67</v>
      </c>
      <c r="B52">
        <v>34</v>
      </c>
      <c r="C52" t="s">
        <v>11</v>
      </c>
      <c r="D52" s="1">
        <v>98.46</v>
      </c>
      <c r="E52" s="1">
        <v>15.38</v>
      </c>
      <c r="F52" s="2">
        <v>3</v>
      </c>
      <c r="G52" s="2">
        <v>2</v>
      </c>
      <c r="H52" s="2">
        <v>2</v>
      </c>
      <c r="I52" s="1">
        <v>1.2</v>
      </c>
      <c r="J52" t="s">
        <v>12</v>
      </c>
      <c r="K52" s="2">
        <f>CH[[#This Row],[Weight_kg]]/(CH[[#This Row],[Height_cm]]/100)^2</f>
        <v>15.864875656303504</v>
      </c>
      <c r="L52" s="6" t="str">
        <f>IF(CH[[#This Row],[1. BMI]]&lt;18,"Underweight",IF(CH[[#This Row],[1. BMI]]&lt;24.9,"Healthy Weight",IF(CH[[#This Row],[1. BMI]]&lt;29.9,"Overweight",IF(CH[[#This Row],[1. BMI]]&gt;=30,"obese","Overweight"))))</f>
        <v>Underweight</v>
      </c>
      <c r="M52" s="6" t="str">
        <f>IF(CH[[#This Row],[Age_Months]]&lt;=36,"24-36 Months",IF(CH[[#This Row],[Age_Months]]&lt;=48,"37-48 Months",IF(CH[[#This Row],[Age_Months]]&gt;48,"49-60 Months","37-48 Months")))</f>
        <v>24-36 Months</v>
      </c>
    </row>
    <row r="53" spans="1:13" x14ac:dyDescent="0.3">
      <c r="A53" t="s">
        <v>68</v>
      </c>
      <c r="B53">
        <v>40</v>
      </c>
      <c r="C53" t="s">
        <v>11</v>
      </c>
      <c r="D53" s="1">
        <v>100.6</v>
      </c>
      <c r="E53" s="1">
        <v>17.309999999999999</v>
      </c>
      <c r="F53" s="2">
        <v>0</v>
      </c>
      <c r="G53" s="2">
        <v>3</v>
      </c>
      <c r="H53" s="2">
        <v>0</v>
      </c>
      <c r="I53" s="1">
        <v>0.6</v>
      </c>
      <c r="J53" t="s">
        <v>27</v>
      </c>
      <c r="K53" s="2">
        <f>CH[[#This Row],[Weight_kg]]/(CH[[#This Row],[Height_cm]]/100)^2</f>
        <v>17.104134635526798</v>
      </c>
      <c r="L53" s="6" t="str">
        <f>IF(CH[[#This Row],[1. BMI]]&lt;18,"Underweight",IF(CH[[#This Row],[1. BMI]]&lt;24.9,"Healthy Weight",IF(CH[[#This Row],[1. BMI]]&lt;29.9,"Overweight",IF(CH[[#This Row],[1. BMI]]&gt;=30,"obese","Overweight"))))</f>
        <v>Underweight</v>
      </c>
      <c r="M53" s="6" t="str">
        <f>IF(CH[[#This Row],[Age_Months]]&lt;=36,"24-36 Months",IF(CH[[#This Row],[Age_Months]]&lt;=48,"37-48 Months",IF(CH[[#This Row],[Age_Months]]&gt;48,"49-60 Months","37-48 Months")))</f>
        <v>37-48 Months</v>
      </c>
    </row>
    <row r="54" spans="1:13" x14ac:dyDescent="0.3">
      <c r="A54" t="s">
        <v>69</v>
      </c>
      <c r="B54">
        <v>39</v>
      </c>
      <c r="C54" t="s">
        <v>11</v>
      </c>
      <c r="D54" s="1">
        <v>96.54</v>
      </c>
      <c r="E54" s="1">
        <v>18.239999999999998</v>
      </c>
      <c r="F54" s="2">
        <v>4</v>
      </c>
      <c r="G54" s="2">
        <v>3</v>
      </c>
      <c r="H54" s="2">
        <v>1</v>
      </c>
      <c r="I54" s="1">
        <v>1.9</v>
      </c>
      <c r="J54" t="s">
        <v>27</v>
      </c>
      <c r="K54" s="2">
        <f>CH[[#This Row],[Weight_kg]]/(CH[[#This Row],[Height_cm]]/100)^2</f>
        <v>19.570875087215928</v>
      </c>
      <c r="L54" s="6" t="str">
        <f>IF(CH[[#This Row],[1. BMI]]&lt;18,"Underweight",IF(CH[[#This Row],[1. BMI]]&lt;24.9,"Healthy Weight",IF(CH[[#This Row],[1. BMI]]&lt;29.9,"Overweight",IF(CH[[#This Row],[1. BMI]]&gt;=30,"obese","Overweight"))))</f>
        <v>Healthy Weight</v>
      </c>
      <c r="M54" s="6" t="str">
        <f>IF(CH[[#This Row],[Age_Months]]&lt;=36,"24-36 Months",IF(CH[[#This Row],[Age_Months]]&lt;=48,"37-48 Months",IF(CH[[#This Row],[Age_Months]]&gt;48,"49-60 Months","37-48 Months")))</f>
        <v>37-48 Months</v>
      </c>
    </row>
    <row r="55" spans="1:13" x14ac:dyDescent="0.3">
      <c r="A55" t="s">
        <v>70</v>
      </c>
      <c r="B55">
        <v>57</v>
      </c>
      <c r="C55" t="s">
        <v>19</v>
      </c>
      <c r="D55" s="1">
        <v>110.58</v>
      </c>
      <c r="E55" s="1">
        <v>21.99</v>
      </c>
      <c r="F55" s="2">
        <v>3</v>
      </c>
      <c r="G55" s="2">
        <v>0</v>
      </c>
      <c r="H55" s="2">
        <v>0</v>
      </c>
      <c r="I55" s="1">
        <v>0.9</v>
      </c>
      <c r="J55" t="s">
        <v>12</v>
      </c>
      <c r="K55" s="2">
        <f>CH[[#This Row],[Weight_kg]]/(CH[[#This Row],[Height_cm]]/100)^2</f>
        <v>17.983410512341237</v>
      </c>
      <c r="L55" s="6" t="str">
        <f>IF(CH[[#This Row],[1. BMI]]&lt;18,"Underweight",IF(CH[[#This Row],[1. BMI]]&lt;24.9,"Healthy Weight",IF(CH[[#This Row],[1. BMI]]&lt;29.9,"Overweight",IF(CH[[#This Row],[1. BMI]]&gt;=30,"obese","Overweight"))))</f>
        <v>Underweight</v>
      </c>
      <c r="M55" s="6" t="str">
        <f>IF(CH[[#This Row],[Age_Months]]&lt;=36,"24-36 Months",IF(CH[[#This Row],[Age_Months]]&lt;=48,"37-48 Months",IF(CH[[#This Row],[Age_Months]]&gt;48,"49-60 Months","37-48 Months")))</f>
        <v>49-60 Months</v>
      </c>
    </row>
    <row r="56" spans="1:13" x14ac:dyDescent="0.3">
      <c r="A56" t="s">
        <v>71</v>
      </c>
      <c r="B56">
        <v>50</v>
      </c>
      <c r="C56" t="s">
        <v>11</v>
      </c>
      <c r="D56" s="1">
        <v>114.47</v>
      </c>
      <c r="E56" s="1">
        <v>18.010000000000002</v>
      </c>
      <c r="F56" s="2">
        <v>1</v>
      </c>
      <c r="G56" s="2">
        <v>3</v>
      </c>
      <c r="H56" s="2">
        <v>0</v>
      </c>
      <c r="I56" s="1">
        <v>0.6</v>
      </c>
      <c r="J56" t="s">
        <v>24</v>
      </c>
      <c r="K56" s="2">
        <f>CH[[#This Row],[Weight_kg]]/(CH[[#This Row],[Height_cm]]/100)^2</f>
        <v>13.744544356487417</v>
      </c>
      <c r="L56" s="6" t="str">
        <f>IF(CH[[#This Row],[1. BMI]]&lt;18,"Underweight",IF(CH[[#This Row],[1. BMI]]&lt;24.9,"Healthy Weight",IF(CH[[#This Row],[1. BMI]]&lt;29.9,"Overweight",IF(CH[[#This Row],[1. BMI]]&gt;=30,"obese","Overweight"))))</f>
        <v>Underweight</v>
      </c>
      <c r="M56" s="6" t="str">
        <f>IF(CH[[#This Row],[Age_Months]]&lt;=36,"24-36 Months",IF(CH[[#This Row],[Age_Months]]&lt;=48,"37-48 Months",IF(CH[[#This Row],[Age_Months]]&gt;48,"49-60 Months","37-48 Months")))</f>
        <v>49-60 Months</v>
      </c>
    </row>
    <row r="57" spans="1:13" x14ac:dyDescent="0.3">
      <c r="A57" t="s">
        <v>72</v>
      </c>
      <c r="B57">
        <v>31</v>
      </c>
      <c r="C57" t="s">
        <v>11</v>
      </c>
      <c r="D57" s="1">
        <v>96.28</v>
      </c>
      <c r="E57" s="1">
        <v>16.84</v>
      </c>
      <c r="F57" s="2">
        <v>4</v>
      </c>
      <c r="G57" s="2">
        <v>2</v>
      </c>
      <c r="H57" s="2">
        <v>3</v>
      </c>
      <c r="I57" s="1">
        <v>0.5</v>
      </c>
      <c r="J57" t="s">
        <v>20</v>
      </c>
      <c r="K57" s="2">
        <f>CH[[#This Row],[Weight_kg]]/(CH[[#This Row],[Height_cm]]/100)^2</f>
        <v>18.166443980296357</v>
      </c>
      <c r="L57" s="6" t="str">
        <f>IF(CH[[#This Row],[1. BMI]]&lt;18,"Underweight",IF(CH[[#This Row],[1. BMI]]&lt;24.9,"Healthy Weight",IF(CH[[#This Row],[1. BMI]]&lt;29.9,"Overweight",IF(CH[[#This Row],[1. BMI]]&gt;=30,"obese","Overweight"))))</f>
        <v>Healthy Weight</v>
      </c>
      <c r="M57" s="6" t="str">
        <f>IF(CH[[#This Row],[Age_Months]]&lt;=36,"24-36 Months",IF(CH[[#This Row],[Age_Months]]&lt;=48,"37-48 Months",IF(CH[[#This Row],[Age_Months]]&gt;48,"49-60 Months","37-48 Months")))</f>
        <v>24-36 Months</v>
      </c>
    </row>
    <row r="58" spans="1:13" x14ac:dyDescent="0.3">
      <c r="A58" t="s">
        <v>73</v>
      </c>
      <c r="B58">
        <v>44</v>
      </c>
      <c r="C58" t="s">
        <v>11</v>
      </c>
      <c r="D58" s="1">
        <v>104.76</v>
      </c>
      <c r="E58" s="1">
        <v>18.399999999999999</v>
      </c>
      <c r="F58" s="2">
        <v>4</v>
      </c>
      <c r="G58" s="2">
        <v>2</v>
      </c>
      <c r="H58" s="2">
        <v>1</v>
      </c>
      <c r="I58" s="1">
        <v>0.7</v>
      </c>
      <c r="J58" t="s">
        <v>12</v>
      </c>
      <c r="K58" s="2">
        <f>CH[[#This Row],[Weight_kg]]/(CH[[#This Row],[Height_cm]]/100)^2</f>
        <v>16.765898919707524</v>
      </c>
      <c r="L58" s="6" t="str">
        <f>IF(CH[[#This Row],[1. BMI]]&lt;18,"Underweight",IF(CH[[#This Row],[1. BMI]]&lt;24.9,"Healthy Weight",IF(CH[[#This Row],[1. BMI]]&lt;29.9,"Overweight",IF(CH[[#This Row],[1. BMI]]&gt;=30,"obese","Overweight"))))</f>
        <v>Underweight</v>
      </c>
      <c r="M58" s="6" t="str">
        <f>IF(CH[[#This Row],[Age_Months]]&lt;=36,"24-36 Months",IF(CH[[#This Row],[Age_Months]]&lt;=48,"37-48 Months",IF(CH[[#This Row],[Age_Months]]&gt;48,"49-60 Months","37-48 Months")))</f>
        <v>37-48 Months</v>
      </c>
    </row>
    <row r="59" spans="1:13" x14ac:dyDescent="0.3">
      <c r="A59" t="s">
        <v>74</v>
      </c>
      <c r="B59">
        <v>42</v>
      </c>
      <c r="C59" t="s">
        <v>19</v>
      </c>
      <c r="D59" s="1">
        <v>105.35</v>
      </c>
      <c r="E59" s="1">
        <v>19.88</v>
      </c>
      <c r="F59" s="2">
        <v>1</v>
      </c>
      <c r="G59" s="2">
        <v>2</v>
      </c>
      <c r="H59" s="2">
        <v>2</v>
      </c>
      <c r="I59" s="1">
        <v>2.8</v>
      </c>
      <c r="J59" t="s">
        <v>20</v>
      </c>
      <c r="K59" s="2">
        <f>CH[[#This Row],[Weight_kg]]/(CH[[#This Row],[Height_cm]]/100)^2</f>
        <v>17.912132789452027</v>
      </c>
      <c r="L59" s="6" t="str">
        <f>IF(CH[[#This Row],[1. BMI]]&lt;18,"Underweight",IF(CH[[#This Row],[1. BMI]]&lt;24.9,"Healthy Weight",IF(CH[[#This Row],[1. BMI]]&lt;29.9,"Overweight",IF(CH[[#This Row],[1. BMI]]&gt;=30,"obese","Overweight"))))</f>
        <v>Underweight</v>
      </c>
      <c r="M59" s="6" t="str">
        <f>IF(CH[[#This Row],[Age_Months]]&lt;=36,"24-36 Months",IF(CH[[#This Row],[Age_Months]]&lt;=48,"37-48 Months",IF(CH[[#This Row],[Age_Months]]&gt;48,"49-60 Months","37-48 Months")))</f>
        <v>37-48 Months</v>
      </c>
    </row>
    <row r="60" spans="1:13" x14ac:dyDescent="0.3">
      <c r="A60" t="s">
        <v>75</v>
      </c>
      <c r="B60">
        <v>59</v>
      </c>
      <c r="C60" t="s">
        <v>19</v>
      </c>
      <c r="D60" s="1">
        <v>110.75</v>
      </c>
      <c r="E60" s="1">
        <v>24.56</v>
      </c>
      <c r="F60" s="2">
        <v>4</v>
      </c>
      <c r="G60" s="2">
        <v>4</v>
      </c>
      <c r="H60" s="2">
        <v>1</v>
      </c>
      <c r="I60" s="1">
        <v>1.7</v>
      </c>
      <c r="J60" t="s">
        <v>12</v>
      </c>
      <c r="K60" s="2">
        <f>CH[[#This Row],[Weight_kg]]/(CH[[#This Row],[Height_cm]]/100)^2</f>
        <v>20.023541521230683</v>
      </c>
      <c r="L60" s="6" t="str">
        <f>IF(CH[[#This Row],[1. BMI]]&lt;18,"Underweight",IF(CH[[#This Row],[1. BMI]]&lt;24.9,"Healthy Weight",IF(CH[[#This Row],[1. BMI]]&lt;29.9,"Overweight",IF(CH[[#This Row],[1. BMI]]&gt;=30,"obese","Overweight"))))</f>
        <v>Healthy Weight</v>
      </c>
      <c r="M60" s="6" t="str">
        <f>IF(CH[[#This Row],[Age_Months]]&lt;=36,"24-36 Months",IF(CH[[#This Row],[Age_Months]]&lt;=48,"37-48 Months",IF(CH[[#This Row],[Age_Months]]&gt;48,"49-60 Months","37-48 Months")))</f>
        <v>49-60 Months</v>
      </c>
    </row>
    <row r="61" spans="1:13" x14ac:dyDescent="0.3">
      <c r="A61" t="s">
        <v>76</v>
      </c>
      <c r="B61">
        <v>56</v>
      </c>
      <c r="C61" t="s">
        <v>19</v>
      </c>
      <c r="D61" s="1">
        <v>108</v>
      </c>
      <c r="E61" s="1">
        <v>22.24</v>
      </c>
      <c r="F61" s="2">
        <v>2</v>
      </c>
      <c r="G61" s="2">
        <v>4</v>
      </c>
      <c r="H61" s="2">
        <v>2</v>
      </c>
      <c r="I61" s="1">
        <v>1.1000000000000001</v>
      </c>
      <c r="J61" t="s">
        <v>14</v>
      </c>
      <c r="K61" s="2">
        <f>CH[[#This Row],[Weight_kg]]/(CH[[#This Row],[Height_cm]]/100)^2</f>
        <v>19.067215363511657</v>
      </c>
      <c r="L61" s="6" t="str">
        <f>IF(CH[[#This Row],[1. BMI]]&lt;18,"Underweight",IF(CH[[#This Row],[1. BMI]]&lt;24.9,"Healthy Weight",IF(CH[[#This Row],[1. BMI]]&lt;29.9,"Overweight",IF(CH[[#This Row],[1. BMI]]&gt;=30,"obese","Overweight"))))</f>
        <v>Healthy Weight</v>
      </c>
      <c r="M61" s="6" t="str">
        <f>IF(CH[[#This Row],[Age_Months]]&lt;=36,"24-36 Months",IF(CH[[#This Row],[Age_Months]]&lt;=48,"37-48 Months",IF(CH[[#This Row],[Age_Months]]&gt;48,"49-60 Months","37-48 Months")))</f>
        <v>49-60 Months</v>
      </c>
    </row>
    <row r="62" spans="1:13" x14ac:dyDescent="0.3">
      <c r="A62" t="s">
        <v>77</v>
      </c>
      <c r="B62">
        <v>32</v>
      </c>
      <c r="C62" t="s">
        <v>11</v>
      </c>
      <c r="D62" s="1">
        <v>98.63</v>
      </c>
      <c r="E62" s="1">
        <v>17.96</v>
      </c>
      <c r="F62" s="2">
        <v>0</v>
      </c>
      <c r="G62" s="2">
        <v>0</v>
      </c>
      <c r="H62" s="2">
        <v>2</v>
      </c>
      <c r="I62" s="1">
        <v>2.6</v>
      </c>
      <c r="J62" t="s">
        <v>24</v>
      </c>
      <c r="K62" s="2">
        <f>CH[[#This Row],[Weight_kg]]/(CH[[#This Row],[Height_cm]]/100)^2</f>
        <v>18.462404679483562</v>
      </c>
      <c r="L62" s="6" t="str">
        <f>IF(CH[[#This Row],[1. BMI]]&lt;18,"Underweight",IF(CH[[#This Row],[1. BMI]]&lt;24.9,"Healthy Weight",IF(CH[[#This Row],[1. BMI]]&lt;29.9,"Overweight",IF(CH[[#This Row],[1. BMI]]&gt;=30,"obese","Overweight"))))</f>
        <v>Healthy Weight</v>
      </c>
      <c r="M62" s="6" t="str">
        <f>IF(CH[[#This Row],[Age_Months]]&lt;=36,"24-36 Months",IF(CH[[#This Row],[Age_Months]]&lt;=48,"37-48 Months",IF(CH[[#This Row],[Age_Months]]&gt;48,"49-60 Months","37-48 Months")))</f>
        <v>24-36 Months</v>
      </c>
    </row>
    <row r="63" spans="1:13" x14ac:dyDescent="0.3">
      <c r="A63" t="s">
        <v>78</v>
      </c>
      <c r="B63">
        <v>47</v>
      </c>
      <c r="C63" t="s">
        <v>11</v>
      </c>
      <c r="D63" s="1">
        <v>103.57</v>
      </c>
      <c r="E63" s="1">
        <v>22.13</v>
      </c>
      <c r="F63" s="2">
        <v>3</v>
      </c>
      <c r="G63" s="2">
        <v>2</v>
      </c>
      <c r="H63" s="2">
        <v>0</v>
      </c>
      <c r="I63" s="1">
        <v>0.6</v>
      </c>
      <c r="J63" t="s">
        <v>12</v>
      </c>
      <c r="K63" s="2">
        <f>CH[[#This Row],[Weight_kg]]/(CH[[#This Row],[Height_cm]]/100)^2</f>
        <v>20.630676133633052</v>
      </c>
      <c r="L63" s="6" t="str">
        <f>IF(CH[[#This Row],[1. BMI]]&lt;18,"Underweight",IF(CH[[#This Row],[1. BMI]]&lt;24.9,"Healthy Weight",IF(CH[[#This Row],[1. BMI]]&lt;29.9,"Overweight",IF(CH[[#This Row],[1. BMI]]&gt;=30,"obese","Overweight"))))</f>
        <v>Healthy Weight</v>
      </c>
      <c r="M63" s="6" t="str">
        <f>IF(CH[[#This Row],[Age_Months]]&lt;=36,"24-36 Months",IF(CH[[#This Row],[Age_Months]]&lt;=48,"37-48 Months",IF(CH[[#This Row],[Age_Months]]&gt;48,"49-60 Months","37-48 Months")))</f>
        <v>37-48 Months</v>
      </c>
    </row>
    <row r="64" spans="1:13" x14ac:dyDescent="0.3">
      <c r="A64" t="s">
        <v>79</v>
      </c>
      <c r="B64">
        <v>28</v>
      </c>
      <c r="C64" t="s">
        <v>19</v>
      </c>
      <c r="D64" s="1">
        <v>92.72</v>
      </c>
      <c r="E64" s="1">
        <v>15.7</v>
      </c>
      <c r="F64" s="2">
        <v>4</v>
      </c>
      <c r="G64" s="2">
        <v>0</v>
      </c>
      <c r="H64" s="2">
        <v>1</v>
      </c>
      <c r="I64" s="1">
        <v>0.5</v>
      </c>
      <c r="J64" t="s">
        <v>24</v>
      </c>
      <c r="K64" s="2">
        <f>CH[[#This Row],[Weight_kg]]/(CH[[#This Row],[Height_cm]]/100)^2</f>
        <v>18.26218788176115</v>
      </c>
      <c r="L64" s="6" t="str">
        <f>IF(CH[[#This Row],[1. BMI]]&lt;18,"Underweight",IF(CH[[#This Row],[1. BMI]]&lt;24.9,"Healthy Weight",IF(CH[[#This Row],[1. BMI]]&lt;29.9,"Overweight",IF(CH[[#This Row],[1. BMI]]&gt;=30,"obese","Overweight"))))</f>
        <v>Healthy Weight</v>
      </c>
      <c r="M64" s="6" t="str">
        <f>IF(CH[[#This Row],[Age_Months]]&lt;=36,"24-36 Months",IF(CH[[#This Row],[Age_Months]]&lt;=48,"37-48 Months",IF(CH[[#This Row],[Age_Months]]&gt;48,"49-60 Months","37-48 Months")))</f>
        <v>24-36 Months</v>
      </c>
    </row>
    <row r="65" spans="1:13" x14ac:dyDescent="0.3">
      <c r="A65" t="s">
        <v>80</v>
      </c>
      <c r="B65">
        <v>56</v>
      </c>
      <c r="C65" t="s">
        <v>19</v>
      </c>
      <c r="D65" s="1">
        <v>113.3</v>
      </c>
      <c r="E65" s="1">
        <v>20.45</v>
      </c>
      <c r="F65" s="2">
        <v>2</v>
      </c>
      <c r="G65" s="2">
        <v>2</v>
      </c>
      <c r="H65" s="2">
        <v>2</v>
      </c>
      <c r="I65" s="1">
        <v>0.5</v>
      </c>
      <c r="J65" t="s">
        <v>27</v>
      </c>
      <c r="K65" s="2">
        <f>CH[[#This Row],[Weight_kg]]/(CH[[#This Row],[Height_cm]]/100)^2</f>
        <v>15.930649869244029</v>
      </c>
      <c r="L65" s="6" t="str">
        <f>IF(CH[[#This Row],[1. BMI]]&lt;18,"Underweight",IF(CH[[#This Row],[1. BMI]]&lt;24.9,"Healthy Weight",IF(CH[[#This Row],[1. BMI]]&lt;29.9,"Overweight",IF(CH[[#This Row],[1. BMI]]&gt;=30,"obese","Overweight"))))</f>
        <v>Underweight</v>
      </c>
      <c r="M65" s="6" t="str">
        <f>IF(CH[[#This Row],[Age_Months]]&lt;=36,"24-36 Months",IF(CH[[#This Row],[Age_Months]]&lt;=48,"37-48 Months",IF(CH[[#This Row],[Age_Months]]&gt;48,"49-60 Months","37-48 Months")))</f>
        <v>49-60 Months</v>
      </c>
    </row>
    <row r="66" spans="1:13" x14ac:dyDescent="0.3">
      <c r="A66" t="s">
        <v>81</v>
      </c>
      <c r="B66">
        <v>38</v>
      </c>
      <c r="C66" t="s">
        <v>19</v>
      </c>
      <c r="D66" s="1">
        <v>104.84</v>
      </c>
      <c r="E66" s="1">
        <v>19.829999999999998</v>
      </c>
      <c r="F66" s="2">
        <v>4</v>
      </c>
      <c r="G66" s="2">
        <v>0</v>
      </c>
      <c r="H66" s="2">
        <v>0</v>
      </c>
      <c r="I66" s="1">
        <v>0.8</v>
      </c>
      <c r="J66" t="s">
        <v>24</v>
      </c>
      <c r="K66" s="2">
        <f>CH[[#This Row],[Weight_kg]]/(CH[[#This Row],[Height_cm]]/100)^2</f>
        <v>18.041335784504604</v>
      </c>
      <c r="L66" s="6" t="str">
        <f>IF(CH[[#This Row],[1. BMI]]&lt;18,"Underweight",IF(CH[[#This Row],[1. BMI]]&lt;24.9,"Healthy Weight",IF(CH[[#This Row],[1. BMI]]&lt;29.9,"Overweight",IF(CH[[#This Row],[1. BMI]]&gt;=30,"obese","Overweight"))))</f>
        <v>Healthy Weight</v>
      </c>
      <c r="M66" s="6" t="str">
        <f>IF(CH[[#This Row],[Age_Months]]&lt;=36,"24-36 Months",IF(CH[[#This Row],[Age_Months]]&lt;=48,"37-48 Months",IF(CH[[#This Row],[Age_Months]]&gt;48,"49-60 Months","37-48 Months")))</f>
        <v>37-48 Months</v>
      </c>
    </row>
    <row r="67" spans="1:13" x14ac:dyDescent="0.3">
      <c r="A67" t="s">
        <v>82</v>
      </c>
      <c r="B67">
        <v>50</v>
      </c>
      <c r="C67" t="s">
        <v>11</v>
      </c>
      <c r="D67" s="1">
        <v>104.56</v>
      </c>
      <c r="E67" s="1">
        <v>21.62</v>
      </c>
      <c r="F67" s="2">
        <v>4</v>
      </c>
      <c r="G67" s="2">
        <v>1</v>
      </c>
      <c r="H67" s="2">
        <v>1</v>
      </c>
      <c r="I67" s="1">
        <v>2</v>
      </c>
      <c r="J67" t="s">
        <v>12</v>
      </c>
      <c r="K67" s="2">
        <f>CH[[#This Row],[Weight_kg]]/(CH[[#This Row],[Height_cm]]/100)^2</f>
        <v>19.775366471749727</v>
      </c>
      <c r="L67" s="6" t="str">
        <f>IF(CH[[#This Row],[1. BMI]]&lt;18,"Underweight",IF(CH[[#This Row],[1. BMI]]&lt;24.9,"Healthy Weight",IF(CH[[#This Row],[1. BMI]]&lt;29.9,"Overweight",IF(CH[[#This Row],[1. BMI]]&gt;=30,"obese","Overweight"))))</f>
        <v>Healthy Weight</v>
      </c>
      <c r="M67" s="6" t="str">
        <f>IF(CH[[#This Row],[Age_Months]]&lt;=36,"24-36 Months",IF(CH[[#This Row],[Age_Months]]&lt;=48,"37-48 Months",IF(CH[[#This Row],[Age_Months]]&gt;48,"49-60 Months","37-48 Months")))</f>
        <v>49-60 Months</v>
      </c>
    </row>
    <row r="68" spans="1:13" x14ac:dyDescent="0.3">
      <c r="A68" t="s">
        <v>83</v>
      </c>
      <c r="B68">
        <v>27</v>
      </c>
      <c r="C68" t="s">
        <v>19</v>
      </c>
      <c r="D68" s="1">
        <v>97.32</v>
      </c>
      <c r="E68" s="1">
        <v>16.28</v>
      </c>
      <c r="F68" s="2">
        <v>2</v>
      </c>
      <c r="G68" s="2">
        <v>4</v>
      </c>
      <c r="H68" s="2">
        <v>0</v>
      </c>
      <c r="I68" s="1">
        <v>0.8</v>
      </c>
      <c r="J68" t="s">
        <v>12</v>
      </c>
      <c r="K68" s="2">
        <f>CH[[#This Row],[Weight_kg]]/(CH[[#This Row],[Height_cm]]/100)^2</f>
        <v>17.188983711262917</v>
      </c>
      <c r="L68" s="6" t="str">
        <f>IF(CH[[#This Row],[1. BMI]]&lt;18,"Underweight",IF(CH[[#This Row],[1. BMI]]&lt;24.9,"Healthy Weight",IF(CH[[#This Row],[1. BMI]]&lt;29.9,"Overweight",IF(CH[[#This Row],[1. BMI]]&gt;=30,"obese","Overweight"))))</f>
        <v>Underweight</v>
      </c>
      <c r="M68" s="6" t="str">
        <f>IF(CH[[#This Row],[Age_Months]]&lt;=36,"24-36 Months",IF(CH[[#This Row],[Age_Months]]&lt;=48,"37-48 Months",IF(CH[[#This Row],[Age_Months]]&gt;48,"49-60 Months","37-48 Months")))</f>
        <v>24-36 Months</v>
      </c>
    </row>
    <row r="69" spans="1:13" x14ac:dyDescent="0.3">
      <c r="A69" t="s">
        <v>84</v>
      </c>
      <c r="B69">
        <v>32</v>
      </c>
      <c r="C69" t="s">
        <v>11</v>
      </c>
      <c r="D69" s="1">
        <v>103.58</v>
      </c>
      <c r="E69" s="1">
        <v>15.12</v>
      </c>
      <c r="F69" s="2">
        <v>4</v>
      </c>
      <c r="G69" s="2">
        <v>0</v>
      </c>
      <c r="H69" s="2">
        <v>2</v>
      </c>
      <c r="I69" s="1">
        <v>1.8</v>
      </c>
      <c r="J69" t="s">
        <v>20</v>
      </c>
      <c r="K69" s="2">
        <f>CH[[#This Row],[Weight_kg]]/(CH[[#This Row],[Height_cm]]/100)^2</f>
        <v>14.092887263873765</v>
      </c>
      <c r="L69" s="6" t="str">
        <f>IF(CH[[#This Row],[1. BMI]]&lt;18,"Underweight",IF(CH[[#This Row],[1. BMI]]&lt;24.9,"Healthy Weight",IF(CH[[#This Row],[1. BMI]]&lt;29.9,"Overweight",IF(CH[[#This Row],[1. BMI]]&gt;=30,"obese","Overweight"))))</f>
        <v>Underweight</v>
      </c>
      <c r="M69" s="6" t="str">
        <f>IF(CH[[#This Row],[Age_Months]]&lt;=36,"24-36 Months",IF(CH[[#This Row],[Age_Months]]&lt;=48,"37-48 Months",IF(CH[[#This Row],[Age_Months]]&gt;48,"49-60 Months","37-48 Months")))</f>
        <v>24-36 Months</v>
      </c>
    </row>
    <row r="70" spans="1:13" x14ac:dyDescent="0.3">
      <c r="A70" t="s">
        <v>85</v>
      </c>
      <c r="B70">
        <v>53</v>
      </c>
      <c r="C70" t="s">
        <v>19</v>
      </c>
      <c r="D70" s="1">
        <v>105.92</v>
      </c>
      <c r="E70" s="1">
        <v>22.98</v>
      </c>
      <c r="F70" s="2">
        <v>2</v>
      </c>
      <c r="G70" s="2">
        <v>0</v>
      </c>
      <c r="H70" s="2">
        <v>0</v>
      </c>
      <c r="I70" s="1">
        <v>0.8</v>
      </c>
      <c r="J70" t="s">
        <v>27</v>
      </c>
      <c r="K70" s="2">
        <f>CH[[#This Row],[Weight_kg]]/(CH[[#This Row],[Height_cm]]/100)^2</f>
        <v>20.483024296966988</v>
      </c>
      <c r="L70" s="6" t="str">
        <f>IF(CH[[#This Row],[1. BMI]]&lt;18,"Underweight",IF(CH[[#This Row],[1. BMI]]&lt;24.9,"Healthy Weight",IF(CH[[#This Row],[1. BMI]]&lt;29.9,"Overweight",IF(CH[[#This Row],[1. BMI]]&gt;=30,"obese","Overweight"))))</f>
        <v>Healthy Weight</v>
      </c>
      <c r="M70" s="6" t="str">
        <f>IF(CH[[#This Row],[Age_Months]]&lt;=36,"24-36 Months",IF(CH[[#This Row],[Age_Months]]&lt;=48,"37-48 Months",IF(CH[[#This Row],[Age_Months]]&gt;48,"49-60 Months","37-48 Months")))</f>
        <v>49-60 Months</v>
      </c>
    </row>
    <row r="71" spans="1:13" x14ac:dyDescent="0.3">
      <c r="A71" t="s">
        <v>86</v>
      </c>
      <c r="B71">
        <v>33</v>
      </c>
      <c r="C71" t="s">
        <v>19</v>
      </c>
      <c r="D71" s="1">
        <v>104.76</v>
      </c>
      <c r="E71" s="1">
        <v>13.89</v>
      </c>
      <c r="F71" s="2">
        <v>3</v>
      </c>
      <c r="G71" s="2">
        <v>4</v>
      </c>
      <c r="H71" s="2">
        <v>0</v>
      </c>
      <c r="I71" s="1">
        <v>0.5</v>
      </c>
      <c r="J71" t="s">
        <v>20</v>
      </c>
      <c r="K71" s="2">
        <f>CH[[#This Row],[Weight_kg]]/(CH[[#This Row],[Height_cm]]/100)^2</f>
        <v>12.656431304061822</v>
      </c>
      <c r="L71" s="6" t="str">
        <f>IF(CH[[#This Row],[1. BMI]]&lt;18,"Underweight",IF(CH[[#This Row],[1. BMI]]&lt;24.9,"Healthy Weight",IF(CH[[#This Row],[1. BMI]]&lt;29.9,"Overweight",IF(CH[[#This Row],[1. BMI]]&gt;=30,"obese","Overweight"))))</f>
        <v>Underweight</v>
      </c>
      <c r="M71" s="6" t="str">
        <f>IF(CH[[#This Row],[Age_Months]]&lt;=36,"24-36 Months",IF(CH[[#This Row],[Age_Months]]&lt;=48,"37-48 Months",IF(CH[[#This Row],[Age_Months]]&gt;48,"49-60 Months","37-48 Months")))</f>
        <v>24-36 Months</v>
      </c>
    </row>
    <row r="72" spans="1:13" x14ac:dyDescent="0.3">
      <c r="A72" t="s">
        <v>87</v>
      </c>
      <c r="B72">
        <v>49</v>
      </c>
      <c r="C72" t="s">
        <v>19</v>
      </c>
      <c r="D72" s="1">
        <v>108.22</v>
      </c>
      <c r="E72" s="1">
        <v>19.55</v>
      </c>
      <c r="F72" s="2">
        <v>1</v>
      </c>
      <c r="G72" s="2">
        <v>1</v>
      </c>
      <c r="H72" s="2">
        <v>2</v>
      </c>
      <c r="I72" s="1">
        <v>1.6</v>
      </c>
      <c r="J72" t="s">
        <v>20</v>
      </c>
      <c r="K72" s="2">
        <f>CH[[#This Row],[Weight_kg]]/(CH[[#This Row],[Height_cm]]/100)^2</f>
        <v>16.692896572247317</v>
      </c>
      <c r="L72" s="6" t="str">
        <f>IF(CH[[#This Row],[1. BMI]]&lt;18,"Underweight",IF(CH[[#This Row],[1. BMI]]&lt;24.9,"Healthy Weight",IF(CH[[#This Row],[1. BMI]]&lt;29.9,"Overweight",IF(CH[[#This Row],[1. BMI]]&gt;=30,"obese","Overweight"))))</f>
        <v>Underweight</v>
      </c>
      <c r="M72" s="6" t="str">
        <f>IF(CH[[#This Row],[Age_Months]]&lt;=36,"24-36 Months",IF(CH[[#This Row],[Age_Months]]&lt;=48,"37-48 Months",IF(CH[[#This Row],[Age_Months]]&gt;48,"49-60 Months","37-48 Months")))</f>
        <v>49-60 Months</v>
      </c>
    </row>
    <row r="73" spans="1:13" x14ac:dyDescent="0.3">
      <c r="A73" t="s">
        <v>88</v>
      </c>
      <c r="B73">
        <v>32</v>
      </c>
      <c r="C73" t="s">
        <v>11</v>
      </c>
      <c r="D73" s="1">
        <v>97.69</v>
      </c>
      <c r="E73" s="1">
        <v>18.04</v>
      </c>
      <c r="F73" s="2">
        <v>3</v>
      </c>
      <c r="G73" s="2">
        <v>2</v>
      </c>
      <c r="H73" s="2">
        <v>2</v>
      </c>
      <c r="I73" s="1">
        <v>2.2000000000000002</v>
      </c>
      <c r="J73" t="s">
        <v>12</v>
      </c>
      <c r="K73" s="2">
        <f>CH[[#This Row],[Weight_kg]]/(CH[[#This Row],[Height_cm]]/100)^2</f>
        <v>18.903242860743426</v>
      </c>
      <c r="L73" s="6" t="str">
        <f>IF(CH[[#This Row],[1. BMI]]&lt;18,"Underweight",IF(CH[[#This Row],[1. BMI]]&lt;24.9,"Healthy Weight",IF(CH[[#This Row],[1. BMI]]&lt;29.9,"Overweight",IF(CH[[#This Row],[1. BMI]]&gt;=30,"obese","Overweight"))))</f>
        <v>Healthy Weight</v>
      </c>
      <c r="M73" s="6" t="str">
        <f>IF(CH[[#This Row],[Age_Months]]&lt;=36,"24-36 Months",IF(CH[[#This Row],[Age_Months]]&lt;=48,"37-48 Months",IF(CH[[#This Row],[Age_Months]]&gt;48,"49-60 Months","37-48 Months")))</f>
        <v>24-36 Months</v>
      </c>
    </row>
    <row r="74" spans="1:13" x14ac:dyDescent="0.3">
      <c r="A74" t="s">
        <v>89</v>
      </c>
      <c r="B74">
        <v>52</v>
      </c>
      <c r="C74" t="s">
        <v>11</v>
      </c>
      <c r="D74" s="1">
        <v>104.99</v>
      </c>
      <c r="E74" s="1">
        <v>22.77</v>
      </c>
      <c r="F74" s="2">
        <v>3</v>
      </c>
      <c r="G74" s="2">
        <v>2</v>
      </c>
      <c r="H74" s="2">
        <v>1</v>
      </c>
      <c r="I74" s="1">
        <v>1.1000000000000001</v>
      </c>
      <c r="J74" t="s">
        <v>14</v>
      </c>
      <c r="K74" s="2">
        <f>CH[[#This Row],[Weight_kg]]/(CH[[#This Row],[Height_cm]]/100)^2</f>
        <v>20.656995702972939</v>
      </c>
      <c r="L74" s="6" t="str">
        <f>IF(CH[[#This Row],[1. BMI]]&lt;18,"Underweight",IF(CH[[#This Row],[1. BMI]]&lt;24.9,"Healthy Weight",IF(CH[[#This Row],[1. BMI]]&lt;29.9,"Overweight",IF(CH[[#This Row],[1. BMI]]&gt;=30,"obese","Overweight"))))</f>
        <v>Healthy Weight</v>
      </c>
      <c r="M74" s="6" t="str">
        <f>IF(CH[[#This Row],[Age_Months]]&lt;=36,"24-36 Months",IF(CH[[#This Row],[Age_Months]]&lt;=48,"37-48 Months",IF(CH[[#This Row],[Age_Months]]&gt;48,"49-60 Months","37-48 Months")))</f>
        <v>49-60 Months</v>
      </c>
    </row>
    <row r="75" spans="1:13" x14ac:dyDescent="0.3">
      <c r="A75" t="s">
        <v>90</v>
      </c>
      <c r="B75">
        <v>25</v>
      </c>
      <c r="C75" t="s">
        <v>19</v>
      </c>
      <c r="D75" s="1">
        <v>88.93</v>
      </c>
      <c r="E75" s="1">
        <v>15.5</v>
      </c>
      <c r="F75" s="2">
        <v>3</v>
      </c>
      <c r="G75" s="2">
        <v>0</v>
      </c>
      <c r="H75" s="2">
        <v>3</v>
      </c>
      <c r="I75" s="1">
        <v>3.8</v>
      </c>
      <c r="J75" t="s">
        <v>14</v>
      </c>
      <c r="K75" s="2">
        <f>CH[[#This Row],[Weight_kg]]/(CH[[#This Row],[Height_cm]]/100)^2</f>
        <v>19.59905418252098</v>
      </c>
      <c r="L75" s="6" t="str">
        <f>IF(CH[[#This Row],[1. BMI]]&lt;18,"Underweight",IF(CH[[#This Row],[1. BMI]]&lt;24.9,"Healthy Weight",IF(CH[[#This Row],[1. BMI]]&lt;29.9,"Overweight",IF(CH[[#This Row],[1. BMI]]&gt;=30,"obese","Overweight"))))</f>
        <v>Healthy Weight</v>
      </c>
      <c r="M75" s="6" t="str">
        <f>IF(CH[[#This Row],[Age_Months]]&lt;=36,"24-36 Months",IF(CH[[#This Row],[Age_Months]]&lt;=48,"37-48 Months",IF(CH[[#This Row],[Age_Months]]&gt;48,"49-60 Months","37-48 Months")))</f>
        <v>24-36 Months</v>
      </c>
    </row>
    <row r="76" spans="1:13" x14ac:dyDescent="0.3">
      <c r="A76" t="s">
        <v>91</v>
      </c>
      <c r="B76">
        <v>41</v>
      </c>
      <c r="C76" t="s">
        <v>11</v>
      </c>
      <c r="D76" s="1">
        <v>105.5</v>
      </c>
      <c r="E76" s="1">
        <v>20.18</v>
      </c>
      <c r="F76" s="2">
        <v>1</v>
      </c>
      <c r="G76" s="2">
        <v>4</v>
      </c>
      <c r="H76" s="2">
        <v>3</v>
      </c>
      <c r="I76" s="1">
        <v>1.9</v>
      </c>
      <c r="J76" t="s">
        <v>24</v>
      </c>
      <c r="K76" s="2">
        <f>CH[[#This Row],[Weight_kg]]/(CH[[#This Row],[Height_cm]]/100)^2</f>
        <v>18.130769749107163</v>
      </c>
      <c r="L76" s="6" t="str">
        <f>IF(CH[[#This Row],[1. BMI]]&lt;18,"Underweight",IF(CH[[#This Row],[1. BMI]]&lt;24.9,"Healthy Weight",IF(CH[[#This Row],[1. BMI]]&lt;29.9,"Overweight",IF(CH[[#This Row],[1. BMI]]&gt;=30,"obese","Overweight"))))</f>
        <v>Healthy Weight</v>
      </c>
      <c r="M76" s="6" t="str">
        <f>IF(CH[[#This Row],[Age_Months]]&lt;=36,"24-36 Months",IF(CH[[#This Row],[Age_Months]]&lt;=48,"37-48 Months",IF(CH[[#This Row],[Age_Months]]&gt;48,"49-60 Months","37-48 Months")))</f>
        <v>37-48 Months</v>
      </c>
    </row>
    <row r="77" spans="1:13" x14ac:dyDescent="0.3">
      <c r="A77" t="s">
        <v>92</v>
      </c>
      <c r="B77">
        <v>38</v>
      </c>
      <c r="C77" t="s">
        <v>19</v>
      </c>
      <c r="D77" s="1">
        <v>101.47</v>
      </c>
      <c r="E77" s="1">
        <v>15.96</v>
      </c>
      <c r="F77" s="2">
        <v>1</v>
      </c>
      <c r="G77" s="2">
        <v>1</v>
      </c>
      <c r="H77" s="2">
        <v>0</v>
      </c>
      <c r="I77" s="1">
        <v>0.8</v>
      </c>
      <c r="J77" t="s">
        <v>12</v>
      </c>
      <c r="K77" s="2">
        <f>CH[[#This Row],[Weight_kg]]/(CH[[#This Row],[Height_cm]]/100)^2</f>
        <v>15.500923261601326</v>
      </c>
      <c r="L77" s="6" t="str">
        <f>IF(CH[[#This Row],[1. BMI]]&lt;18,"Underweight",IF(CH[[#This Row],[1. BMI]]&lt;24.9,"Healthy Weight",IF(CH[[#This Row],[1. BMI]]&lt;29.9,"Overweight",IF(CH[[#This Row],[1. BMI]]&gt;=30,"obese","Overweight"))))</f>
        <v>Underweight</v>
      </c>
      <c r="M77" s="6" t="str">
        <f>IF(CH[[#This Row],[Age_Months]]&lt;=36,"24-36 Months",IF(CH[[#This Row],[Age_Months]]&lt;=48,"37-48 Months",IF(CH[[#This Row],[Age_Months]]&gt;48,"49-60 Months","37-48 Months")))</f>
        <v>37-48 Months</v>
      </c>
    </row>
    <row r="78" spans="1:13" x14ac:dyDescent="0.3">
      <c r="A78" t="s">
        <v>93</v>
      </c>
      <c r="B78">
        <v>46</v>
      </c>
      <c r="C78" t="s">
        <v>19</v>
      </c>
      <c r="D78" s="1">
        <v>103.84</v>
      </c>
      <c r="E78" s="1">
        <v>17.13</v>
      </c>
      <c r="F78" s="2">
        <v>0</v>
      </c>
      <c r="G78" s="2">
        <v>4</v>
      </c>
      <c r="H78" s="2">
        <v>1</v>
      </c>
      <c r="I78" s="1">
        <v>0.7</v>
      </c>
      <c r="J78" t="s">
        <v>20</v>
      </c>
      <c r="K78" s="2">
        <f>CH[[#This Row],[Weight_kg]]/(CH[[#This Row],[Height_cm]]/100)^2</f>
        <v>15.886491841187462</v>
      </c>
      <c r="L78" s="6" t="str">
        <f>IF(CH[[#This Row],[1. BMI]]&lt;18,"Underweight",IF(CH[[#This Row],[1. BMI]]&lt;24.9,"Healthy Weight",IF(CH[[#This Row],[1. BMI]]&lt;29.9,"Overweight",IF(CH[[#This Row],[1. BMI]]&gt;=30,"obese","Overweight"))))</f>
        <v>Underweight</v>
      </c>
      <c r="M78" s="6" t="str">
        <f>IF(CH[[#This Row],[Age_Months]]&lt;=36,"24-36 Months",IF(CH[[#This Row],[Age_Months]]&lt;=48,"37-48 Months",IF(CH[[#This Row],[Age_Months]]&gt;48,"49-60 Months","37-48 Months")))</f>
        <v>37-48 Months</v>
      </c>
    </row>
    <row r="79" spans="1:13" x14ac:dyDescent="0.3">
      <c r="A79" t="s">
        <v>94</v>
      </c>
      <c r="B79">
        <v>45</v>
      </c>
      <c r="C79" t="s">
        <v>19</v>
      </c>
      <c r="D79" s="1">
        <v>103.74</v>
      </c>
      <c r="E79" s="1">
        <v>18.21</v>
      </c>
      <c r="F79" s="2">
        <v>1</v>
      </c>
      <c r="G79" s="2">
        <v>3</v>
      </c>
      <c r="H79" s="2">
        <v>0</v>
      </c>
      <c r="I79" s="1">
        <v>0.5</v>
      </c>
      <c r="J79" t="s">
        <v>20</v>
      </c>
      <c r="K79" s="2">
        <f>CH[[#This Row],[Weight_kg]]/(CH[[#This Row],[Height_cm]]/100)^2</f>
        <v>16.920666215969256</v>
      </c>
      <c r="L79" s="6" t="str">
        <f>IF(CH[[#This Row],[1. BMI]]&lt;18,"Underweight",IF(CH[[#This Row],[1. BMI]]&lt;24.9,"Healthy Weight",IF(CH[[#This Row],[1. BMI]]&lt;29.9,"Overweight",IF(CH[[#This Row],[1. BMI]]&gt;=30,"obese","Overweight"))))</f>
        <v>Underweight</v>
      </c>
      <c r="M79" s="6" t="str">
        <f>IF(CH[[#This Row],[Age_Months]]&lt;=36,"24-36 Months",IF(CH[[#This Row],[Age_Months]]&lt;=48,"37-48 Months",IF(CH[[#This Row],[Age_Months]]&gt;48,"49-60 Months","37-48 Months")))</f>
        <v>37-48 Months</v>
      </c>
    </row>
    <row r="80" spans="1:13" x14ac:dyDescent="0.3">
      <c r="A80" t="s">
        <v>95</v>
      </c>
      <c r="B80">
        <v>48</v>
      </c>
      <c r="C80" t="s">
        <v>19</v>
      </c>
      <c r="D80" s="1">
        <v>101.32</v>
      </c>
      <c r="E80" s="1">
        <v>21.93</v>
      </c>
      <c r="F80" s="2">
        <v>4</v>
      </c>
      <c r="G80" s="2">
        <v>2</v>
      </c>
      <c r="H80" s="2">
        <v>2</v>
      </c>
      <c r="I80" s="1">
        <v>2.8</v>
      </c>
      <c r="J80" t="s">
        <v>14</v>
      </c>
      <c r="K80" s="2">
        <f>CH[[#This Row],[Weight_kg]]/(CH[[#This Row],[Height_cm]]/100)^2</f>
        <v>21.36231277340449</v>
      </c>
      <c r="L80" s="6" t="str">
        <f>IF(CH[[#This Row],[1. BMI]]&lt;18,"Underweight",IF(CH[[#This Row],[1. BMI]]&lt;24.9,"Healthy Weight",IF(CH[[#This Row],[1. BMI]]&lt;29.9,"Overweight",IF(CH[[#This Row],[1. BMI]]&gt;=30,"obese","Overweight"))))</f>
        <v>Healthy Weight</v>
      </c>
      <c r="M80" s="6" t="str">
        <f>IF(CH[[#This Row],[Age_Months]]&lt;=36,"24-36 Months",IF(CH[[#This Row],[Age_Months]]&lt;=48,"37-48 Months",IF(CH[[#This Row],[Age_Months]]&gt;48,"49-60 Months","37-48 Months")))</f>
        <v>37-48 Months</v>
      </c>
    </row>
    <row r="81" spans="1:13" x14ac:dyDescent="0.3">
      <c r="A81" t="s">
        <v>96</v>
      </c>
      <c r="B81">
        <v>54</v>
      </c>
      <c r="C81" t="s">
        <v>11</v>
      </c>
      <c r="D81" s="1">
        <v>109.83</v>
      </c>
      <c r="E81" s="1">
        <v>21.35</v>
      </c>
      <c r="F81" s="2">
        <v>3</v>
      </c>
      <c r="G81" s="2">
        <v>2</v>
      </c>
      <c r="H81" s="2">
        <v>1</v>
      </c>
      <c r="I81" s="1">
        <v>0.7</v>
      </c>
      <c r="J81" t="s">
        <v>24</v>
      </c>
      <c r="K81" s="2">
        <f>CH[[#This Row],[Weight_kg]]/(CH[[#This Row],[Height_cm]]/100)^2</f>
        <v>17.699292730459444</v>
      </c>
      <c r="L81" s="6" t="str">
        <f>IF(CH[[#This Row],[1. BMI]]&lt;18,"Underweight",IF(CH[[#This Row],[1. BMI]]&lt;24.9,"Healthy Weight",IF(CH[[#This Row],[1. BMI]]&lt;29.9,"Overweight",IF(CH[[#This Row],[1. BMI]]&gt;=30,"obese","Overweight"))))</f>
        <v>Underweight</v>
      </c>
      <c r="M81" s="6" t="str">
        <f>IF(CH[[#This Row],[Age_Months]]&lt;=36,"24-36 Months",IF(CH[[#This Row],[Age_Months]]&lt;=48,"37-48 Months",IF(CH[[#This Row],[Age_Months]]&gt;48,"49-60 Months","37-48 Months")))</f>
        <v>49-60 Months</v>
      </c>
    </row>
    <row r="82" spans="1:13" x14ac:dyDescent="0.3">
      <c r="A82" t="s">
        <v>97</v>
      </c>
      <c r="B82">
        <v>49</v>
      </c>
      <c r="C82" t="s">
        <v>19</v>
      </c>
      <c r="D82" s="1">
        <v>112.98</v>
      </c>
      <c r="E82" s="1">
        <v>18.22</v>
      </c>
      <c r="F82" s="2">
        <v>3</v>
      </c>
      <c r="G82" s="2">
        <v>1</v>
      </c>
      <c r="H82" s="2">
        <v>1</v>
      </c>
      <c r="I82" s="1">
        <v>1.7</v>
      </c>
      <c r="J82" t="s">
        <v>12</v>
      </c>
      <c r="K82" s="2">
        <f>CH[[#This Row],[Weight_kg]]/(CH[[#This Row],[Height_cm]]/100)^2</f>
        <v>14.273984861929826</v>
      </c>
      <c r="L82" s="6" t="str">
        <f>IF(CH[[#This Row],[1. BMI]]&lt;18,"Underweight",IF(CH[[#This Row],[1. BMI]]&lt;24.9,"Healthy Weight",IF(CH[[#This Row],[1. BMI]]&lt;29.9,"Overweight",IF(CH[[#This Row],[1. BMI]]&gt;=30,"obese","Overweight"))))</f>
        <v>Underweight</v>
      </c>
      <c r="M82" s="6" t="str">
        <f>IF(CH[[#This Row],[Age_Months]]&lt;=36,"24-36 Months",IF(CH[[#This Row],[Age_Months]]&lt;=48,"37-48 Months",IF(CH[[#This Row],[Age_Months]]&gt;48,"49-60 Months","37-48 Months")))</f>
        <v>49-60 Months</v>
      </c>
    </row>
    <row r="83" spans="1:13" x14ac:dyDescent="0.3">
      <c r="A83" t="s">
        <v>98</v>
      </c>
      <c r="B83">
        <v>45</v>
      </c>
      <c r="C83" t="s">
        <v>11</v>
      </c>
      <c r="D83" s="1">
        <v>104.87</v>
      </c>
      <c r="E83" s="1">
        <v>19.66</v>
      </c>
      <c r="F83" s="2">
        <v>1</v>
      </c>
      <c r="G83" s="2">
        <v>4</v>
      </c>
      <c r="H83" s="2">
        <v>2</v>
      </c>
      <c r="I83" s="1">
        <v>1.1000000000000001</v>
      </c>
      <c r="J83" t="s">
        <v>27</v>
      </c>
      <c r="K83" s="2">
        <f>CH[[#This Row],[Weight_kg]]/(CH[[#This Row],[Height_cm]]/100)^2</f>
        <v>17.876437608609475</v>
      </c>
      <c r="L83" s="6" t="str">
        <f>IF(CH[[#This Row],[1. BMI]]&lt;18,"Underweight",IF(CH[[#This Row],[1. BMI]]&lt;24.9,"Healthy Weight",IF(CH[[#This Row],[1. BMI]]&lt;29.9,"Overweight",IF(CH[[#This Row],[1. BMI]]&gt;=30,"obese","Overweight"))))</f>
        <v>Underweight</v>
      </c>
      <c r="M83" s="6" t="str">
        <f>IF(CH[[#This Row],[Age_Months]]&lt;=36,"24-36 Months",IF(CH[[#This Row],[Age_Months]]&lt;=48,"37-48 Months",IF(CH[[#This Row],[Age_Months]]&gt;48,"49-60 Months","37-48 Months")))</f>
        <v>37-48 Months</v>
      </c>
    </row>
    <row r="84" spans="1:13" x14ac:dyDescent="0.3">
      <c r="A84" t="s">
        <v>99</v>
      </c>
      <c r="B84">
        <v>30</v>
      </c>
      <c r="C84" t="s">
        <v>19</v>
      </c>
      <c r="D84" s="1">
        <v>100.81</v>
      </c>
      <c r="E84" s="1">
        <v>14.39</v>
      </c>
      <c r="F84" s="2">
        <v>2</v>
      </c>
      <c r="G84" s="2">
        <v>4</v>
      </c>
      <c r="H84" s="2">
        <v>2</v>
      </c>
      <c r="I84" s="1">
        <v>2.6</v>
      </c>
      <c r="J84" t="s">
        <v>12</v>
      </c>
      <c r="K84" s="2">
        <f>CH[[#This Row],[Weight_kg]]/(CH[[#This Row],[Height_cm]]/100)^2</f>
        <v>14.159684100694896</v>
      </c>
      <c r="L84" s="6" t="str">
        <f>IF(CH[[#This Row],[1. BMI]]&lt;18,"Underweight",IF(CH[[#This Row],[1. BMI]]&lt;24.9,"Healthy Weight",IF(CH[[#This Row],[1. BMI]]&lt;29.9,"Overweight",IF(CH[[#This Row],[1. BMI]]&gt;=30,"obese","Overweight"))))</f>
        <v>Underweight</v>
      </c>
      <c r="M84" s="6" t="str">
        <f>IF(CH[[#This Row],[Age_Months]]&lt;=36,"24-36 Months",IF(CH[[#This Row],[Age_Months]]&lt;=48,"37-48 Months",IF(CH[[#This Row],[Age_Months]]&gt;48,"49-60 Months","37-48 Months")))</f>
        <v>24-36 Months</v>
      </c>
    </row>
    <row r="85" spans="1:13" x14ac:dyDescent="0.3">
      <c r="A85" t="s">
        <v>100</v>
      </c>
      <c r="B85">
        <v>29</v>
      </c>
      <c r="C85" t="s">
        <v>11</v>
      </c>
      <c r="D85" s="1">
        <v>101.16</v>
      </c>
      <c r="E85" s="1">
        <v>14.14</v>
      </c>
      <c r="F85" s="2">
        <v>2</v>
      </c>
      <c r="G85" s="2">
        <v>2</v>
      </c>
      <c r="H85" s="2">
        <v>3</v>
      </c>
      <c r="I85" s="1">
        <v>1.3</v>
      </c>
      <c r="J85" t="s">
        <v>12</v>
      </c>
      <c r="K85" s="2">
        <f>CH[[#This Row],[Weight_kg]]/(CH[[#This Row],[Height_cm]]/100)^2</f>
        <v>13.817573013462967</v>
      </c>
      <c r="L85" s="6" t="str">
        <f>IF(CH[[#This Row],[1. BMI]]&lt;18,"Underweight",IF(CH[[#This Row],[1. BMI]]&lt;24.9,"Healthy Weight",IF(CH[[#This Row],[1. BMI]]&lt;29.9,"Overweight",IF(CH[[#This Row],[1. BMI]]&gt;=30,"obese","Overweight"))))</f>
        <v>Underweight</v>
      </c>
      <c r="M85" s="6" t="str">
        <f>IF(CH[[#This Row],[Age_Months]]&lt;=36,"24-36 Months",IF(CH[[#This Row],[Age_Months]]&lt;=48,"37-48 Months",IF(CH[[#This Row],[Age_Months]]&gt;48,"49-60 Months","37-48 Months")))</f>
        <v>24-36 Months</v>
      </c>
    </row>
    <row r="86" spans="1:13" x14ac:dyDescent="0.3">
      <c r="A86" t="s">
        <v>101</v>
      </c>
      <c r="B86">
        <v>57</v>
      </c>
      <c r="C86" t="s">
        <v>11</v>
      </c>
      <c r="D86" s="1">
        <v>115.19</v>
      </c>
      <c r="E86" s="1">
        <v>20.76</v>
      </c>
      <c r="F86" s="2">
        <v>1</v>
      </c>
      <c r="G86" s="2">
        <v>4</v>
      </c>
      <c r="H86" s="2">
        <v>0</v>
      </c>
      <c r="I86" s="1">
        <v>1</v>
      </c>
      <c r="J86" t="s">
        <v>12</v>
      </c>
      <c r="K86" s="2">
        <f>CH[[#This Row],[Weight_kg]]/(CH[[#This Row],[Height_cm]]/100)^2</f>
        <v>15.645800657682841</v>
      </c>
      <c r="L86" s="6" t="str">
        <f>IF(CH[[#This Row],[1. BMI]]&lt;18,"Underweight",IF(CH[[#This Row],[1. BMI]]&lt;24.9,"Healthy Weight",IF(CH[[#This Row],[1. BMI]]&lt;29.9,"Overweight",IF(CH[[#This Row],[1. BMI]]&gt;=30,"obese","Overweight"))))</f>
        <v>Underweight</v>
      </c>
      <c r="M86" s="6" t="str">
        <f>IF(CH[[#This Row],[Age_Months]]&lt;=36,"24-36 Months",IF(CH[[#This Row],[Age_Months]]&lt;=48,"37-48 Months",IF(CH[[#This Row],[Age_Months]]&gt;48,"49-60 Months","37-48 Months")))</f>
        <v>49-60 Months</v>
      </c>
    </row>
    <row r="87" spans="1:13" x14ac:dyDescent="0.3">
      <c r="A87" t="s">
        <v>102</v>
      </c>
      <c r="B87">
        <v>56</v>
      </c>
      <c r="C87" t="s">
        <v>19</v>
      </c>
      <c r="D87" s="1">
        <v>110.72</v>
      </c>
      <c r="E87" s="1">
        <v>20.149999999999999</v>
      </c>
      <c r="F87" s="2">
        <v>0</v>
      </c>
      <c r="G87" s="2">
        <v>1</v>
      </c>
      <c r="H87" s="2">
        <v>1</v>
      </c>
      <c r="I87" s="1">
        <v>2</v>
      </c>
      <c r="J87" t="s">
        <v>27</v>
      </c>
      <c r="K87" s="2">
        <f>CH[[#This Row],[Weight_kg]]/(CH[[#This Row],[Height_cm]]/100)^2</f>
        <v>16.43701290971967</v>
      </c>
      <c r="L87" s="6" t="str">
        <f>IF(CH[[#This Row],[1. BMI]]&lt;18,"Underweight",IF(CH[[#This Row],[1. BMI]]&lt;24.9,"Healthy Weight",IF(CH[[#This Row],[1. BMI]]&lt;29.9,"Overweight",IF(CH[[#This Row],[1. BMI]]&gt;=30,"obese","Overweight"))))</f>
        <v>Underweight</v>
      </c>
      <c r="M87" s="6" t="str">
        <f>IF(CH[[#This Row],[Age_Months]]&lt;=36,"24-36 Months",IF(CH[[#This Row],[Age_Months]]&lt;=48,"37-48 Months",IF(CH[[#This Row],[Age_Months]]&gt;48,"49-60 Months","37-48 Months")))</f>
        <v>49-60 Months</v>
      </c>
    </row>
    <row r="88" spans="1:13" x14ac:dyDescent="0.3">
      <c r="A88" t="s">
        <v>103</v>
      </c>
      <c r="B88">
        <v>56</v>
      </c>
      <c r="C88" t="s">
        <v>11</v>
      </c>
      <c r="D88" s="1">
        <v>106.73</v>
      </c>
      <c r="E88" s="1">
        <v>24.09</v>
      </c>
      <c r="F88" s="2">
        <v>0</v>
      </c>
      <c r="G88" s="2">
        <v>1</v>
      </c>
      <c r="H88" s="2">
        <v>3</v>
      </c>
      <c r="I88" s="1">
        <v>1.7</v>
      </c>
      <c r="J88" t="s">
        <v>27</v>
      </c>
      <c r="K88" s="2">
        <f>CH[[#This Row],[Weight_kg]]/(CH[[#This Row],[Height_cm]]/100)^2</f>
        <v>21.147731176326783</v>
      </c>
      <c r="L88" s="6" t="str">
        <f>IF(CH[[#This Row],[1. BMI]]&lt;18,"Underweight",IF(CH[[#This Row],[1. BMI]]&lt;24.9,"Healthy Weight",IF(CH[[#This Row],[1. BMI]]&lt;29.9,"Overweight",IF(CH[[#This Row],[1. BMI]]&gt;=30,"obese","Overweight"))))</f>
        <v>Healthy Weight</v>
      </c>
      <c r="M88" s="6" t="str">
        <f>IF(CH[[#This Row],[Age_Months]]&lt;=36,"24-36 Months",IF(CH[[#This Row],[Age_Months]]&lt;=48,"37-48 Months",IF(CH[[#This Row],[Age_Months]]&gt;48,"49-60 Months","37-48 Months")))</f>
        <v>49-60 Months</v>
      </c>
    </row>
    <row r="89" spans="1:13" x14ac:dyDescent="0.3">
      <c r="A89" t="s">
        <v>104</v>
      </c>
      <c r="B89">
        <v>25</v>
      </c>
      <c r="C89" t="s">
        <v>11</v>
      </c>
      <c r="D89" s="1">
        <v>99.72</v>
      </c>
      <c r="E89" s="1">
        <v>14.9</v>
      </c>
      <c r="F89" s="2">
        <v>4</v>
      </c>
      <c r="G89" s="2">
        <v>2</v>
      </c>
      <c r="H89" s="2">
        <v>3</v>
      </c>
      <c r="I89" s="1">
        <v>2.2000000000000002</v>
      </c>
      <c r="J89" t="s">
        <v>14</v>
      </c>
      <c r="K89" s="2">
        <f>CH[[#This Row],[Weight_kg]]/(CH[[#This Row],[Height_cm]]/100)^2</f>
        <v>14.983791760933824</v>
      </c>
      <c r="L89" s="6" t="str">
        <f>IF(CH[[#This Row],[1. BMI]]&lt;18,"Underweight",IF(CH[[#This Row],[1. BMI]]&lt;24.9,"Healthy Weight",IF(CH[[#This Row],[1. BMI]]&lt;29.9,"Overweight",IF(CH[[#This Row],[1. BMI]]&gt;=30,"obese","Overweight"))))</f>
        <v>Underweight</v>
      </c>
      <c r="M89" s="6" t="str">
        <f>IF(CH[[#This Row],[Age_Months]]&lt;=36,"24-36 Months",IF(CH[[#This Row],[Age_Months]]&lt;=48,"37-48 Months",IF(CH[[#This Row],[Age_Months]]&gt;48,"49-60 Months","37-48 Months")))</f>
        <v>24-36 Months</v>
      </c>
    </row>
    <row r="90" spans="1:13" x14ac:dyDescent="0.3">
      <c r="A90" t="s">
        <v>105</v>
      </c>
      <c r="B90">
        <v>30</v>
      </c>
      <c r="C90" t="s">
        <v>11</v>
      </c>
      <c r="D90" s="1">
        <v>96.45</v>
      </c>
      <c r="E90" s="1">
        <v>14.77</v>
      </c>
      <c r="F90" s="2">
        <v>4</v>
      </c>
      <c r="G90" s="2">
        <v>2</v>
      </c>
      <c r="H90" s="2">
        <v>0</v>
      </c>
      <c r="I90" s="1">
        <v>0.6</v>
      </c>
      <c r="J90" t="s">
        <v>24</v>
      </c>
      <c r="K90" s="2">
        <f>CH[[#This Row],[Weight_kg]]/(CH[[#This Row],[Height_cm]]/100)^2</f>
        <v>15.877277353299789</v>
      </c>
      <c r="L90" s="6" t="str">
        <f>IF(CH[[#This Row],[1. BMI]]&lt;18,"Underweight",IF(CH[[#This Row],[1. BMI]]&lt;24.9,"Healthy Weight",IF(CH[[#This Row],[1. BMI]]&lt;29.9,"Overweight",IF(CH[[#This Row],[1. BMI]]&gt;=30,"obese","Overweight"))))</f>
        <v>Underweight</v>
      </c>
      <c r="M90" s="6" t="str">
        <f>IF(CH[[#This Row],[Age_Months]]&lt;=36,"24-36 Months",IF(CH[[#This Row],[Age_Months]]&lt;=48,"37-48 Months",IF(CH[[#This Row],[Age_Months]]&gt;48,"49-60 Months","37-48 Months")))</f>
        <v>24-36 Months</v>
      </c>
    </row>
    <row r="91" spans="1:13" x14ac:dyDescent="0.3">
      <c r="A91" t="s">
        <v>106</v>
      </c>
      <c r="B91">
        <v>53</v>
      </c>
      <c r="C91" t="s">
        <v>19</v>
      </c>
      <c r="D91" s="1">
        <v>106.44</v>
      </c>
      <c r="E91" s="1">
        <v>20.73</v>
      </c>
      <c r="F91" s="2">
        <v>4</v>
      </c>
      <c r="G91" s="2">
        <v>3</v>
      </c>
      <c r="H91" s="2">
        <v>2</v>
      </c>
      <c r="I91" s="1">
        <v>2</v>
      </c>
      <c r="J91" t="s">
        <v>12</v>
      </c>
      <c r="K91" s="2">
        <f>CH[[#This Row],[Weight_kg]]/(CH[[#This Row],[Height_cm]]/100)^2</f>
        <v>18.29740792193558</v>
      </c>
      <c r="L91" s="6" t="str">
        <f>IF(CH[[#This Row],[1. BMI]]&lt;18,"Underweight",IF(CH[[#This Row],[1. BMI]]&lt;24.9,"Healthy Weight",IF(CH[[#This Row],[1. BMI]]&lt;29.9,"Overweight",IF(CH[[#This Row],[1. BMI]]&gt;=30,"obese","Overweight"))))</f>
        <v>Healthy Weight</v>
      </c>
      <c r="M91" s="6" t="str">
        <f>IF(CH[[#This Row],[Age_Months]]&lt;=36,"24-36 Months",IF(CH[[#This Row],[Age_Months]]&lt;=48,"37-48 Months",IF(CH[[#This Row],[Age_Months]]&gt;48,"49-60 Months","37-48 Months")))</f>
        <v>49-60 Months</v>
      </c>
    </row>
    <row r="92" spans="1:13" x14ac:dyDescent="0.3">
      <c r="A92" t="s">
        <v>107</v>
      </c>
      <c r="B92">
        <v>29</v>
      </c>
      <c r="C92" t="s">
        <v>11</v>
      </c>
      <c r="D92" s="1">
        <v>97.77</v>
      </c>
      <c r="E92" s="1">
        <v>15.72</v>
      </c>
      <c r="F92" s="2">
        <v>2</v>
      </c>
      <c r="G92" s="2">
        <v>0</v>
      </c>
      <c r="H92" s="2">
        <v>0</v>
      </c>
      <c r="I92" s="1">
        <v>0.9</v>
      </c>
      <c r="J92" t="s">
        <v>12</v>
      </c>
      <c r="K92" s="2">
        <f>CH[[#This Row],[Weight_kg]]/(CH[[#This Row],[Height_cm]]/100)^2</f>
        <v>16.445281479979926</v>
      </c>
      <c r="L92" s="6" t="str">
        <f>IF(CH[[#This Row],[1. BMI]]&lt;18,"Underweight",IF(CH[[#This Row],[1. BMI]]&lt;24.9,"Healthy Weight",IF(CH[[#This Row],[1. BMI]]&lt;29.9,"Overweight",IF(CH[[#This Row],[1. BMI]]&gt;=30,"obese","Overweight"))))</f>
        <v>Underweight</v>
      </c>
      <c r="M92" s="6" t="str">
        <f>IF(CH[[#This Row],[Age_Months]]&lt;=36,"24-36 Months",IF(CH[[#This Row],[Age_Months]]&lt;=48,"37-48 Months",IF(CH[[#This Row],[Age_Months]]&gt;48,"49-60 Months","37-48 Months")))</f>
        <v>24-36 Months</v>
      </c>
    </row>
    <row r="93" spans="1:13" x14ac:dyDescent="0.3">
      <c r="A93" t="s">
        <v>108</v>
      </c>
      <c r="B93">
        <v>58</v>
      </c>
      <c r="C93" t="s">
        <v>19</v>
      </c>
      <c r="D93" s="1">
        <v>113.49</v>
      </c>
      <c r="E93" s="1">
        <v>25.26</v>
      </c>
      <c r="F93" s="2">
        <v>0</v>
      </c>
      <c r="G93" s="2">
        <v>4</v>
      </c>
      <c r="H93" s="2">
        <v>3</v>
      </c>
      <c r="I93" s="1">
        <v>3</v>
      </c>
      <c r="J93" t="s">
        <v>27</v>
      </c>
      <c r="K93" s="2">
        <f>CH[[#This Row],[Weight_kg]]/(CH[[#This Row],[Height_cm]]/100)^2</f>
        <v>19.611831543124822</v>
      </c>
      <c r="L93" s="6" t="str">
        <f>IF(CH[[#This Row],[1. BMI]]&lt;18,"Underweight",IF(CH[[#This Row],[1. BMI]]&lt;24.9,"Healthy Weight",IF(CH[[#This Row],[1. BMI]]&lt;29.9,"Overweight",IF(CH[[#This Row],[1. BMI]]&gt;=30,"obese","Overweight"))))</f>
        <v>Healthy Weight</v>
      </c>
      <c r="M93" s="6" t="str">
        <f>IF(CH[[#This Row],[Age_Months]]&lt;=36,"24-36 Months",IF(CH[[#This Row],[Age_Months]]&lt;=48,"37-48 Months",IF(CH[[#This Row],[Age_Months]]&gt;48,"49-60 Months","37-48 Months")))</f>
        <v>49-60 Months</v>
      </c>
    </row>
    <row r="94" spans="1:13" x14ac:dyDescent="0.3">
      <c r="A94" t="s">
        <v>109</v>
      </c>
      <c r="B94">
        <v>26</v>
      </c>
      <c r="C94" t="s">
        <v>19</v>
      </c>
      <c r="D94" s="1">
        <v>92.08</v>
      </c>
      <c r="E94" s="1">
        <v>15.29</v>
      </c>
      <c r="F94" s="2">
        <v>4</v>
      </c>
      <c r="G94" s="2">
        <v>1</v>
      </c>
      <c r="H94" s="2">
        <v>2</v>
      </c>
      <c r="I94" s="1">
        <v>2.6</v>
      </c>
      <c r="J94" t="s">
        <v>20</v>
      </c>
      <c r="K94" s="2">
        <f>CH[[#This Row],[Weight_kg]]/(CH[[#This Row],[Height_cm]]/100)^2</f>
        <v>18.033368785198682</v>
      </c>
      <c r="L94" s="6" t="str">
        <f>IF(CH[[#This Row],[1. BMI]]&lt;18,"Underweight",IF(CH[[#This Row],[1. BMI]]&lt;24.9,"Healthy Weight",IF(CH[[#This Row],[1. BMI]]&lt;29.9,"Overweight",IF(CH[[#This Row],[1. BMI]]&gt;=30,"obese","Overweight"))))</f>
        <v>Healthy Weight</v>
      </c>
      <c r="M94" s="6" t="str">
        <f>IF(CH[[#This Row],[Age_Months]]&lt;=36,"24-36 Months",IF(CH[[#This Row],[Age_Months]]&lt;=48,"37-48 Months",IF(CH[[#This Row],[Age_Months]]&gt;48,"49-60 Months","37-48 Months")))</f>
        <v>24-36 Months</v>
      </c>
    </row>
    <row r="95" spans="1:13" x14ac:dyDescent="0.3">
      <c r="A95" t="s">
        <v>110</v>
      </c>
      <c r="B95">
        <v>25</v>
      </c>
      <c r="C95" t="s">
        <v>11</v>
      </c>
      <c r="D95" s="1">
        <v>96.42</v>
      </c>
      <c r="E95" s="1">
        <v>15.34</v>
      </c>
      <c r="F95" s="2">
        <v>4</v>
      </c>
      <c r="G95" s="2">
        <v>3</v>
      </c>
      <c r="H95" s="2">
        <v>2</v>
      </c>
      <c r="I95" s="1">
        <v>0.9</v>
      </c>
      <c r="J95" t="s">
        <v>20</v>
      </c>
      <c r="K95" s="2">
        <f>CH[[#This Row],[Weight_kg]]/(CH[[#This Row],[Height_cm]]/100)^2</f>
        <v>16.500272071630885</v>
      </c>
      <c r="L95" s="6" t="str">
        <f>IF(CH[[#This Row],[1. BMI]]&lt;18,"Underweight",IF(CH[[#This Row],[1. BMI]]&lt;24.9,"Healthy Weight",IF(CH[[#This Row],[1. BMI]]&lt;29.9,"Overweight",IF(CH[[#This Row],[1. BMI]]&gt;=30,"obese","Overweight"))))</f>
        <v>Underweight</v>
      </c>
      <c r="M95" s="6" t="str">
        <f>IF(CH[[#This Row],[Age_Months]]&lt;=36,"24-36 Months",IF(CH[[#This Row],[Age_Months]]&lt;=48,"37-48 Months",IF(CH[[#This Row],[Age_Months]]&gt;48,"49-60 Months","37-48 Months")))</f>
        <v>24-36 Months</v>
      </c>
    </row>
    <row r="96" spans="1:13" x14ac:dyDescent="0.3">
      <c r="A96" t="s">
        <v>111</v>
      </c>
      <c r="B96">
        <v>59</v>
      </c>
      <c r="C96" t="s">
        <v>11</v>
      </c>
      <c r="D96" s="1">
        <v>108.1</v>
      </c>
      <c r="E96" s="1">
        <v>19.25</v>
      </c>
      <c r="F96" s="2">
        <v>1</v>
      </c>
      <c r="G96" s="2">
        <v>0</v>
      </c>
      <c r="H96" s="2">
        <v>1</v>
      </c>
      <c r="I96" s="1">
        <v>1</v>
      </c>
      <c r="J96" t="s">
        <v>12</v>
      </c>
      <c r="K96" s="2">
        <f>CH[[#This Row],[Weight_kg]]/(CH[[#This Row],[Height_cm]]/100)^2</f>
        <v>16.47325214515973</v>
      </c>
      <c r="L96" s="6" t="str">
        <f>IF(CH[[#This Row],[1. BMI]]&lt;18,"Underweight",IF(CH[[#This Row],[1. BMI]]&lt;24.9,"Healthy Weight",IF(CH[[#This Row],[1. BMI]]&lt;29.9,"Overweight",IF(CH[[#This Row],[1. BMI]]&gt;=30,"obese","Overweight"))))</f>
        <v>Underweight</v>
      </c>
      <c r="M96" s="6" t="str">
        <f>IF(CH[[#This Row],[Age_Months]]&lt;=36,"24-36 Months",IF(CH[[#This Row],[Age_Months]]&lt;=48,"37-48 Months",IF(CH[[#This Row],[Age_Months]]&gt;48,"49-60 Months","37-48 Months")))</f>
        <v>49-60 Months</v>
      </c>
    </row>
    <row r="97" spans="1:13" x14ac:dyDescent="0.3">
      <c r="A97" t="s">
        <v>112</v>
      </c>
      <c r="B97">
        <v>50</v>
      </c>
      <c r="C97" t="s">
        <v>11</v>
      </c>
      <c r="D97" s="1">
        <v>109.15</v>
      </c>
      <c r="E97" s="1">
        <v>22.09</v>
      </c>
      <c r="F97" s="2">
        <v>1</v>
      </c>
      <c r="G97" s="2">
        <v>4</v>
      </c>
      <c r="H97" s="2">
        <v>0</v>
      </c>
      <c r="I97" s="1">
        <v>0.6</v>
      </c>
      <c r="J97" t="s">
        <v>14</v>
      </c>
      <c r="K97" s="2">
        <f>CH[[#This Row],[Weight_kg]]/(CH[[#This Row],[Height_cm]]/100)^2</f>
        <v>18.541643890060385</v>
      </c>
      <c r="L97" s="6" t="str">
        <f>IF(CH[[#This Row],[1. BMI]]&lt;18,"Underweight",IF(CH[[#This Row],[1. BMI]]&lt;24.9,"Healthy Weight",IF(CH[[#This Row],[1. BMI]]&lt;29.9,"Overweight",IF(CH[[#This Row],[1. BMI]]&gt;=30,"obese","Overweight"))))</f>
        <v>Healthy Weight</v>
      </c>
      <c r="M97" s="6" t="str">
        <f>IF(CH[[#This Row],[Age_Months]]&lt;=36,"24-36 Months",IF(CH[[#This Row],[Age_Months]]&lt;=48,"37-48 Months",IF(CH[[#This Row],[Age_Months]]&gt;48,"49-60 Months","37-48 Months")))</f>
        <v>49-60 Months</v>
      </c>
    </row>
    <row r="98" spans="1:13" x14ac:dyDescent="0.3">
      <c r="A98" t="s">
        <v>113</v>
      </c>
      <c r="B98">
        <v>48</v>
      </c>
      <c r="C98" t="s">
        <v>19</v>
      </c>
      <c r="D98" s="1">
        <v>107.71</v>
      </c>
      <c r="E98" s="1">
        <v>19.079999999999998</v>
      </c>
      <c r="F98" s="2">
        <v>0</v>
      </c>
      <c r="G98" s="2">
        <v>2</v>
      </c>
      <c r="H98" s="2">
        <v>2</v>
      </c>
      <c r="I98" s="1">
        <v>1.8</v>
      </c>
      <c r="J98" t="s">
        <v>20</v>
      </c>
      <c r="K98" s="2">
        <f>CH[[#This Row],[Weight_kg]]/(CH[[#This Row],[Height_cm]]/100)^2</f>
        <v>16.446228448404973</v>
      </c>
      <c r="L98" s="6" t="str">
        <f>IF(CH[[#This Row],[1. BMI]]&lt;18,"Underweight",IF(CH[[#This Row],[1. BMI]]&lt;24.9,"Healthy Weight",IF(CH[[#This Row],[1. BMI]]&lt;29.9,"Overweight",IF(CH[[#This Row],[1. BMI]]&gt;=30,"obese","Overweight"))))</f>
        <v>Underweight</v>
      </c>
      <c r="M98" s="6" t="str">
        <f>IF(CH[[#This Row],[Age_Months]]&lt;=36,"24-36 Months",IF(CH[[#This Row],[Age_Months]]&lt;=48,"37-48 Months",IF(CH[[#This Row],[Age_Months]]&gt;48,"49-60 Months","37-48 Months")))</f>
        <v>37-48 Months</v>
      </c>
    </row>
    <row r="99" spans="1:13" x14ac:dyDescent="0.3">
      <c r="A99" t="s">
        <v>114</v>
      </c>
      <c r="B99">
        <v>57</v>
      </c>
      <c r="C99" t="s">
        <v>19</v>
      </c>
      <c r="D99" s="1">
        <v>112.41</v>
      </c>
      <c r="E99" s="1">
        <v>21.55</v>
      </c>
      <c r="F99" s="2">
        <v>2</v>
      </c>
      <c r="G99" s="2">
        <v>4</v>
      </c>
      <c r="H99" s="2">
        <v>0</v>
      </c>
      <c r="I99" s="1">
        <v>0.9</v>
      </c>
      <c r="J99" t="s">
        <v>12</v>
      </c>
      <c r="K99" s="2">
        <f>CH[[#This Row],[Weight_kg]]/(CH[[#This Row],[Height_cm]]/100)^2</f>
        <v>17.054436677671966</v>
      </c>
      <c r="L99" s="6" t="str">
        <f>IF(CH[[#This Row],[1. BMI]]&lt;18,"Underweight",IF(CH[[#This Row],[1. BMI]]&lt;24.9,"Healthy Weight",IF(CH[[#This Row],[1. BMI]]&lt;29.9,"Overweight",IF(CH[[#This Row],[1. BMI]]&gt;=30,"obese","Overweight"))))</f>
        <v>Underweight</v>
      </c>
      <c r="M99" s="6" t="str">
        <f>IF(CH[[#This Row],[Age_Months]]&lt;=36,"24-36 Months",IF(CH[[#This Row],[Age_Months]]&lt;=48,"37-48 Months",IF(CH[[#This Row],[Age_Months]]&gt;48,"49-60 Months","37-48 Months")))</f>
        <v>49-60 Months</v>
      </c>
    </row>
    <row r="100" spans="1:13" x14ac:dyDescent="0.3">
      <c r="A100" t="s">
        <v>115</v>
      </c>
      <c r="B100">
        <v>45</v>
      </c>
      <c r="C100" t="s">
        <v>19</v>
      </c>
      <c r="D100" s="1">
        <v>110.12</v>
      </c>
      <c r="E100" s="1">
        <v>18.510000000000002</v>
      </c>
      <c r="F100" s="2">
        <v>0</v>
      </c>
      <c r="G100" s="2">
        <v>2</v>
      </c>
      <c r="H100" s="2">
        <v>0</v>
      </c>
      <c r="I100" s="1">
        <v>0.9</v>
      </c>
      <c r="J100" t="s">
        <v>24</v>
      </c>
      <c r="K100" s="2">
        <f>CH[[#This Row],[Weight_kg]]/(CH[[#This Row],[Height_cm]]/100)^2</f>
        <v>15.264198789050129</v>
      </c>
      <c r="L100" s="6" t="str">
        <f>IF(CH[[#This Row],[1. BMI]]&lt;18,"Underweight",IF(CH[[#This Row],[1. BMI]]&lt;24.9,"Healthy Weight",IF(CH[[#This Row],[1. BMI]]&lt;29.9,"Overweight",IF(CH[[#This Row],[1. BMI]]&gt;=30,"obese","Overweight"))))</f>
        <v>Underweight</v>
      </c>
      <c r="M100" s="6" t="str">
        <f>IF(CH[[#This Row],[Age_Months]]&lt;=36,"24-36 Months",IF(CH[[#This Row],[Age_Months]]&lt;=48,"37-48 Months",IF(CH[[#This Row],[Age_Months]]&gt;48,"49-60 Months","37-48 Months")))</f>
        <v>37-48 Months</v>
      </c>
    </row>
    <row r="101" spans="1:13" x14ac:dyDescent="0.3">
      <c r="A101" t="s">
        <v>116</v>
      </c>
      <c r="B101">
        <v>49</v>
      </c>
      <c r="C101" t="s">
        <v>19</v>
      </c>
      <c r="D101" s="1">
        <v>106.6</v>
      </c>
      <c r="E101" s="1">
        <v>21.21</v>
      </c>
      <c r="F101" s="2">
        <v>0</v>
      </c>
      <c r="G101" s="2">
        <v>0</v>
      </c>
      <c r="H101" s="2">
        <v>2</v>
      </c>
      <c r="I101" s="1">
        <v>2.5</v>
      </c>
      <c r="J101" t="s">
        <v>24</v>
      </c>
      <c r="K101" s="2">
        <f>CH[[#This Row],[Weight_kg]]/(CH[[#This Row],[Height_cm]]/100)^2</f>
        <v>18.664925428298883</v>
      </c>
      <c r="L101" s="6" t="str">
        <f>IF(CH[[#This Row],[1. BMI]]&lt;18,"Underweight",IF(CH[[#This Row],[1. BMI]]&lt;24.9,"Healthy Weight",IF(CH[[#This Row],[1. BMI]]&lt;29.9,"Overweight",IF(CH[[#This Row],[1. BMI]]&gt;=30,"obese","Overweight"))))</f>
        <v>Healthy Weight</v>
      </c>
      <c r="M101" s="6" t="str">
        <f>IF(CH[[#This Row],[Age_Months]]&lt;=36,"24-36 Months",IF(CH[[#This Row],[Age_Months]]&lt;=48,"37-48 Months",IF(CH[[#This Row],[Age_Months]]&gt;48,"49-60 Months","37-48 Months")))</f>
        <v>49-60 Months</v>
      </c>
    </row>
  </sheetData>
  <pageMargins left="0.7" right="0.7" top="0.75" bottom="0.75" header="0.3" footer="0.3"/>
  <pageSetup orientation="portrait" r:id="rId1"/>
  <tableParts count="1">
    <tablePart r:id="rId2"/>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Dashboard</vt:lpstr>
      <vt:lpstr>Summary</vt:lpstr>
      <vt:lpstr>Data Validation</vt:lpstr>
      <vt:lpstr>Regional Difference</vt:lpstr>
      <vt:lpstr>Sugar_Screen time Analysis</vt:lpstr>
      <vt:lpstr>Nutrient Vs BMI</vt:lpstr>
      <vt:lpstr>Health Status by Age</vt:lpstr>
      <vt:lpstr>Child_Health_Data</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ASUS</dc:creator>
  <cp:lastModifiedBy>ASUS</cp:lastModifiedBy>
  <dcterms:modified xsi:type="dcterms:W3CDTF">2026-03-18T17:44:33Z</dcterms:modified>
</cp:coreProperties>
</file>